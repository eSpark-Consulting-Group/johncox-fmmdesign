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91" i="1" l="1"/>
  <c r="B90" i="1"/>
  <c r="B89" i="1"/>
  <c r="B88" i="1" l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<sst xmlns="http://schemas.openxmlformats.org/spreadsheetml/2006/main" count="618" uniqueCount="391">
  <si>
    <t>#</t>
  </si>
  <si>
    <t>Item Type</t>
  </si>
  <si>
    <t>Capacitor</t>
  </si>
  <si>
    <t>Diode</t>
  </si>
  <si>
    <t>Protection Device</t>
  </si>
  <si>
    <t>Surge Protection (TVS/ESD)</t>
  </si>
  <si>
    <t>TVS Diode</t>
  </si>
  <si>
    <t>Ferrite Bead</t>
  </si>
  <si>
    <t>Fuse Holder</t>
  </si>
  <si>
    <t>Connector</t>
  </si>
  <si>
    <t>Inductor</t>
  </si>
  <si>
    <t>Common Mode Filter</t>
  </si>
  <si>
    <t>LED</t>
  </si>
  <si>
    <t>MOSFET</t>
  </si>
  <si>
    <t>Resistor</t>
  </si>
  <si>
    <t>Switch</t>
  </si>
  <si>
    <t>TRANSFORMER</t>
  </si>
  <si>
    <t>IC</t>
  </si>
  <si>
    <t>Designator</t>
  </si>
  <si>
    <t>C1, C24, C32, C44, C47, C53, C54, C67, C68</t>
  </si>
  <si>
    <t>C2, C5, C14, C15, C18, C19, C22, C27, C29, C31, C34, C36, C37, C38, C45, C48, C49, C50, C51, C52, C55, C56, C57, C58, C63, C65, C66, C73, C75, C81, C82</t>
  </si>
  <si>
    <t>C3, C4</t>
  </si>
  <si>
    <t>C6, C7</t>
  </si>
  <si>
    <t>C8, C9</t>
  </si>
  <si>
    <t>C10</t>
  </si>
  <si>
    <t>C11</t>
  </si>
  <si>
    <t>C12</t>
  </si>
  <si>
    <t>C13</t>
  </si>
  <si>
    <t>C16, C17, C33</t>
  </si>
  <si>
    <t>C20, C21</t>
  </si>
  <si>
    <t>C23</t>
  </si>
  <si>
    <t>C25, C26, C28, C30, C39, C43, C46</t>
  </si>
  <si>
    <t>C35</t>
  </si>
  <si>
    <t>C40, C42</t>
  </si>
  <si>
    <t>C41</t>
  </si>
  <si>
    <t>C59, C60, C61, C69, C70, C71, C76, C77, C78, C83, C84, C85</t>
  </si>
  <si>
    <t>C62, C72, C79, C86</t>
  </si>
  <si>
    <t>C64, C74, C80, C87</t>
  </si>
  <si>
    <t>D1</t>
  </si>
  <si>
    <t>D2</t>
  </si>
  <si>
    <t>D3</t>
  </si>
  <si>
    <t>D4</t>
  </si>
  <si>
    <t>D5, D6</t>
  </si>
  <si>
    <t>D7</t>
  </si>
  <si>
    <t>D8, D9, D10</t>
  </si>
  <si>
    <t>D11</t>
  </si>
  <si>
    <t>D12, D13, D14, D15</t>
  </si>
  <si>
    <t>FB1, FB2, FB3, FB4, FB5</t>
  </si>
  <si>
    <t>J1</t>
  </si>
  <si>
    <t>J2</t>
  </si>
  <si>
    <t>J3</t>
  </si>
  <si>
    <t>L1</t>
  </si>
  <si>
    <t>L2</t>
  </si>
  <si>
    <t>L3</t>
  </si>
  <si>
    <t>LED1, LED2, LED3, LED7</t>
  </si>
  <si>
    <t>LED4, LED5</t>
  </si>
  <si>
    <t>LED6</t>
  </si>
  <si>
    <t>LED8</t>
  </si>
  <si>
    <t>Q1</t>
  </si>
  <si>
    <t>Q2</t>
  </si>
  <si>
    <t>Q3, Q4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</si>
  <si>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</si>
  <si>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</si>
  <si>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</si>
  <si>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</si>
  <si>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</si>
  <si>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</si>
  <si>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</si>
  <si>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</si>
  <si>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</si>
  <si>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</si>
  <si>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R11, R38, R39, R40, R41</t>
  </si>
  <si>
    <t>R12</t>
  </si>
  <si>
    <t>R13</t>
  </si>
  <si>
    <t>R14</t>
  </si>
  <si>
    <t>R15</t>
  </si>
  <si>
    <t>R16</t>
  </si>
  <si>
    <t>R17, R21, R22, R27, R36, R48</t>
  </si>
  <si>
    <t>R18, R20</t>
  </si>
  <si>
    <t>R19</t>
  </si>
  <si>
    <t>R23</t>
  </si>
  <si>
    <t>R24</t>
  </si>
  <si>
    <t>R25, R26</t>
  </si>
  <si>
    <t>R28</t>
  </si>
  <si>
    <t>R29, R32</t>
  </si>
  <si>
    <t>R30, R31</t>
  </si>
  <si>
    <t>R33, R34, R35, R37</t>
  </si>
  <si>
    <t>R43, R50, R56, R62</t>
  </si>
  <si>
    <t>R44, R45, R51, R52, R57, R58, R63, R64</t>
  </si>
  <si>
    <t>R46, R47, R53, R54, R59, R60, R65, R66</t>
  </si>
  <si>
    <t>SW1, SW2</t>
  </si>
  <si>
    <t>T1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</si>
  <si>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</si>
  <si>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</si>
  <si>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</si>
  <si>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</si>
  <si>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</si>
  <si>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</si>
  <si>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</si>
  <si>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</si>
  <si>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</si>
  <si>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U10, U11, U12, U14</t>
  </si>
  <si>
    <t>U13, U18</t>
  </si>
  <si>
    <t>U15</t>
  </si>
  <si>
    <t>U16, U17, U19, U20, U21, U22, U23, U24</t>
  </si>
  <si>
    <t>Description</t>
  </si>
  <si>
    <t>CAP CER 1UF 25V X5R 0402</t>
  </si>
  <si>
    <t>CAP CER 0.1UF 50V X7R 0402</t>
  </si>
  <si>
    <t>CAP ALUM POLY 10UF 20% 50V SMD</t>
  </si>
  <si>
    <t>CAP ALUM POLY 100UF 20% 25V SMD</t>
  </si>
  <si>
    <t>CAP CER 0.47 uF, 50 V, ± 10%, X7R, 0603 [1608 Metric]</t>
  </si>
  <si>
    <t>CAP CER 0.022UF 50V X7R 0603</t>
  </si>
  <si>
    <t>CAP CER 470PF 50V X7R 0603</t>
  </si>
  <si>
    <t>CAP CER 0.047UF 25V X7R 0402</t>
  </si>
  <si>
    <t>CAP CER 1000PF 50V C0G/NP0 0402</t>
  </si>
  <si>
    <t>CAP CER 4.7UF 25V X5R 0603</t>
  </si>
  <si>
    <t>CAP CER 47UF 25V X5R 1206</t>
  </si>
  <si>
    <t>CAP CER 1UF 16V X5R 0402</t>
  </si>
  <si>
    <t>CAP CER 10UF 10V X5R 0402</t>
  </si>
  <si>
    <t>CAP CER 22UF 10V X5R 0402</t>
  </si>
  <si>
    <t>CAP CER 68PF 100V C0G 0603</t>
  </si>
  <si>
    <t>CAP CER 4700PF 50V C0G/NPO 0603</t>
  </si>
  <si>
    <t>CAP CER 0.022UF 16V X7R 0402</t>
  </si>
  <si>
    <t>CAP CER 0.1UF 16V X7R 0402</t>
  </si>
  <si>
    <t>CAP CER 0.015UF 16V X7R 0402</t>
  </si>
  <si>
    <t>DIODE SCHOTTKY 100V 20A D2PAK</t>
  </si>
  <si>
    <t>DIODE SCHOTTKY 60V 7A POWERDI5</t>
  </si>
  <si>
    <t>DIODE ZENER 3.3V 200MW SOD323F</t>
  </si>
  <si>
    <t>TVS DIODE 33VWM 53.3VC SMA</t>
  </si>
  <si>
    <t>DIODE SCHOTTKY 20V 500MA SOD123</t>
  </si>
  <si>
    <t>DIODE SCHOTTKY 30V 1A SOD123W</t>
  </si>
  <si>
    <t>SOD-523 ESD Protection Devices ROHS</t>
  </si>
  <si>
    <t>TVS DIODE 7V/12V 14V/26V SOT23-3</t>
  </si>
  <si>
    <t>TVS DIODE 3.3VWM 11.5VC MICROSMP</t>
  </si>
  <si>
    <t>FERRITE BEAD 1K OHM 0805 1LN</t>
  </si>
  <si>
    <t>FUSE HOLDER BLADE 80V PCB</t>
  </si>
  <si>
    <t>1x6P SH 1 1mm 6 SMD,P=1mm Wire To Board / Wire To Wire Connector ROHS</t>
  </si>
  <si>
    <t>FIXED IND 8.2UH 10.5A 15.5 MOHM</t>
  </si>
  <si>
    <t>FIXED IND 2.2UH 4.3A 18.98 MOHM</t>
  </si>
  <si>
    <t>CMC 51UH 200MA 2LN 2.8KOHM SMD</t>
  </si>
  <si>
    <t>RED LED 0603 Light Emitting Diodes</t>
  </si>
  <si>
    <t>yellow 0603 Light Emitting Diodes (LED) ROHS</t>
  </si>
  <si>
    <t>Emerald 0603 Light Emitting Diodes (LED) ROHS</t>
  </si>
  <si>
    <t>blue 0603 Light Emitting Diodes (LED) ROHS</t>
  </si>
  <si>
    <t>MOSFET N-CH 40V 15A/50A 8VSON</t>
  </si>
  <si>
    <t>MOSFET N-CH 30V 20A/60A 8VSON</t>
  </si>
  <si>
    <t>25V 300mW 120@100mA,1V 1.5A NPN SOT-23 Bipolar Transistors - BJT ROHS</t>
  </si>
  <si>
    <t>RES SMD 34.8KOHM 0.1% 1/16W 0402</t>
  </si>
  <si>
    <t>RES SMD 1M OHM 1% 1/10W 0603</t>
  </si>
  <si>
    <t>RES SMD 12.1KOHM 0.1% 1/16W 0402</t>
  </si>
  <si>
    <t>RES SMD 47K OHM 0.1% 1/10W 0603</t>
  </si>
  <si>
    <t>RES 0.01 OHM 1% 3W 2512</t>
  </si>
  <si>
    <t>RES SMD 1.6K OHM 0.1% 1/16W 0402</t>
  </si>
  <si>
    <t>RES SMD 8.66KOHM 0.1% 1/16W 0402</t>
  </si>
  <si>
    <t>RES SMD 21K OHM 0.1% 1/16W 0402</t>
  </si>
  <si>
    <t>RES SMD 10K OHM 0.1% 1/16W 0402</t>
  </si>
  <si>
    <t>RES 1.5K OHM 1% 1/16W 0402</t>
  </si>
  <si>
    <t>RES 1K OHM 1% 1/16W 0402</t>
  </si>
  <si>
    <t>RES 100K OHM 1% 1/16W 0402</t>
  </si>
  <si>
    <t>RES 499 OHM 1% 1/16W 0402</t>
  </si>
  <si>
    <t>RES 240 OHM 1% 1/16W 0402</t>
  </si>
  <si>
    <t>RES 2K OHM 1% 1/16W 0402</t>
  </si>
  <si>
    <t>RES 22.1K OHM 1% 1/10W 0603</t>
  </si>
  <si>
    <t>RES 10K OHM 1% 1/16W 0402</t>
  </si>
  <si>
    <t>RES SMD 220 OHM 1% 1/10W 0603</t>
  </si>
  <si>
    <t>RES 47.5K OHM 1% 1/10W 0603</t>
  </si>
  <si>
    <t>RES 49.9 OHM 1% 1/10W 0603</t>
  </si>
  <si>
    <t>RES SMD 240 OHM 0.1% 1/10W 0603</t>
  </si>
  <si>
    <t>RES 4.7K OHM 1% 1/16W 0402</t>
  </si>
  <si>
    <t>RES 22 OHM 1% 1/10W 0603</t>
  </si>
  <si>
    <t>RES SMD 59 OHM 0.1% 1/4W 1206</t>
  </si>
  <si>
    <t>RES 0 OHM JUMPER 1/16W 0402</t>
  </si>
  <si>
    <t>RES 120 OHM 1% 1/10W 0603</t>
  </si>
  <si>
    <t>RES SMD 27K OHM 0.1% 1/16W 0402</t>
  </si>
  <si>
    <t>RES SMD 8.2K OHM 0.1% 1/16W 0402</t>
  </si>
  <si>
    <t>RES SMD 22.1KOHM 0.1% 1/16W 0402</t>
  </si>
  <si>
    <t>SWITCH TACTILE SPST-NO 0.05A 12V</t>
  </si>
  <si>
    <t>TRANSFORMER 475UH SMD</t>
  </si>
  <si>
    <t>IC REG CTRLR BUCK 20TSSOP</t>
  </si>
  <si>
    <t>IC REG BUCK 5V 2A 12VQFN</t>
  </si>
  <si>
    <t>IC REG LIN 3.3V 1A 8SON</t>
  </si>
  <si>
    <t>IC XFRMR DRVR NCH 350MA SOT23-5</t>
  </si>
  <si>
    <t>IC REG LINEAR 5V 150MA SOT23-5</t>
  </si>
  <si>
    <t>Full Speed USB to UART Bridge USB 2.0 3.3V T/R Automotive 28-Pin QFN EP</t>
  </si>
  <si>
    <t>RF TXRX MOD BLUETOOTH U.FL SMD</t>
  </si>
  <si>
    <t>2.7V~3.6V 50MHz 1Gbit LGA-8(6x8) NAND FLASH ROHS</t>
  </si>
  <si>
    <t>1/1 Transceiver Half CAN 16-SOIC</t>
  </si>
  <si>
    <t>IC REG LIN POS ADJ 500MA SOT223</t>
  </si>
  <si>
    <t>IC ADC 16BIT SIGMA-DELTA 10VSSOP</t>
  </si>
  <si>
    <t>IC INVERT SCHMITT 6CH 1IN 14SOIC</t>
  </si>
  <si>
    <t>IC OPAMP GP 1 CIRCUIT 8SOIC</t>
  </si>
  <si>
    <t>Footprint</t>
  </si>
  <si>
    <t>Cap-0402</t>
  </si>
  <si>
    <t>50SVPF10M</t>
  </si>
  <si>
    <t>25SVPF100M</t>
  </si>
  <si>
    <t>Cap-0603</t>
  </si>
  <si>
    <t>Cap-1206</t>
  </si>
  <si>
    <t>D2Pak.</t>
  </si>
  <si>
    <t>Power-DI-5</t>
  </si>
  <si>
    <t>SOD323F</t>
  </si>
  <si>
    <t>SMA</t>
  </si>
  <si>
    <t>SOD-123</t>
  </si>
  <si>
    <t>SOD-123W</t>
  </si>
  <si>
    <t>SOD-523</t>
  </si>
  <si>
    <t>SOT-23</t>
  </si>
  <si>
    <t>MicroSMP</t>
  </si>
  <si>
    <t>Ind-0805</t>
  </si>
  <si>
    <t>178.6165.0002</t>
  </si>
  <si>
    <t>Voltlink Target</t>
  </si>
  <si>
    <t>DJ7391-1.5/2.8-10</t>
  </si>
  <si>
    <t>SRP1265A-8R2M</t>
  </si>
  <si>
    <t>CLF7045T-2R2N-D</t>
  </si>
  <si>
    <t>ACT45B-510-2P-TL003</t>
  </si>
  <si>
    <t>LED-0603</t>
  </si>
  <si>
    <t>8-VSONP (5x6)</t>
  </si>
  <si>
    <t>8-VSON-CLIP (3.3x3.3)</t>
  </si>
  <si>
    <t>Res-0402</t>
  </si>
  <si>
    <t>Res-0603</t>
  </si>
  <si>
    <t>RES-2512</t>
  </si>
  <si>
    <t>Res-1206</t>
  </si>
  <si>
    <t>B3U-1000P</t>
  </si>
  <si>
    <t>20-HTSSOP</t>
  </si>
  <si>
    <t>12-VQFN-HR (3x2)</t>
  </si>
  <si>
    <t>8-SON (3x3)</t>
  </si>
  <si>
    <t>SOT-23-5</t>
  </si>
  <si>
    <t>28-QFN (5x5)_</t>
  </si>
  <si>
    <t>ESP32-WROOM-32UE-N16</t>
  </si>
  <si>
    <t>XTSD01GLGEAG</t>
  </si>
  <si>
    <t>SOIC-16-300mil</t>
  </si>
  <si>
    <t>SOT- 223</t>
  </si>
  <si>
    <t>VSSOP-10</t>
  </si>
  <si>
    <t>SOIC-14</t>
  </si>
  <si>
    <t>SOIC-8(0.154", 3.90mm Width)</t>
  </si>
  <si>
    <t>Manufacturer Part Number</t>
  </si>
  <si>
    <t>CL05A105KA5NQNC</t>
  </si>
  <si>
    <t>CL05B104KB54PNC</t>
  </si>
  <si>
    <t>CC0603KRX7R9BB474</t>
  </si>
  <si>
    <t>CC0603KRX7R9BB223</t>
  </si>
  <si>
    <t>CC0603KPX7R9BB471</t>
  </si>
  <si>
    <t>GRM155R71E473KA88D</t>
  </si>
  <si>
    <t>GRM1555C1H102JA01D</t>
  </si>
  <si>
    <t>CL10A475KA8NQNC</t>
  </si>
  <si>
    <t>GRM31CR61E476ME44L</t>
  </si>
  <si>
    <t>CC0402KRX5R7BB105</t>
  </si>
  <si>
    <t>CC0402MRX5R6BB106</t>
  </si>
  <si>
    <t>CGA3E2C0G2A680JT0Y0N</t>
  </si>
  <si>
    <t>CC0603JRNPO9BN472</t>
  </si>
  <si>
    <t>CC0402JRX7R7BB223</t>
  </si>
  <si>
    <t>CC0402JRX7R7BB104</t>
  </si>
  <si>
    <t>CC0402JRX7R7BB153</t>
  </si>
  <si>
    <t>STPS20M100SG-TR</t>
  </si>
  <si>
    <t>PDS760-13</t>
  </si>
  <si>
    <t>MM3Z3V3B</t>
  </si>
  <si>
    <t>SMAJ33AQ-13-F</t>
  </si>
  <si>
    <t>MBR0520LT1G</t>
  </si>
  <si>
    <t>PMEG3010ER,115</t>
  </si>
  <si>
    <t>LESD5D5.0CT1G</t>
  </si>
  <si>
    <t>CDSOT23-SM712</t>
  </si>
  <si>
    <t>MMZ2012R102ATD25</t>
  </si>
  <si>
    <t>C145963</t>
  </si>
  <si>
    <t>NCD0603R3</t>
  </si>
  <si>
    <t>NCD0603Y2</t>
  </si>
  <si>
    <t>NCD0603G2</t>
  </si>
  <si>
    <t>NCD0603B3</t>
  </si>
  <si>
    <t>CSD18504Q5A</t>
  </si>
  <si>
    <t>CSD17309Q3</t>
  </si>
  <si>
    <t>SS8050-G</t>
  </si>
  <si>
    <t>RT0402BRD0734K8L</t>
  </si>
  <si>
    <t>RC0603FR-071ML</t>
  </si>
  <si>
    <t>RT0402BRD0712K1L</t>
  </si>
  <si>
    <t>RT0603BRD0747KL</t>
  </si>
  <si>
    <t>CRA2512-FZ-R010ELF</t>
  </si>
  <si>
    <t>RT0402BRD071K6L</t>
  </si>
  <si>
    <t>RT0402BRD078K66L</t>
  </si>
  <si>
    <t>RT0402BRD0721KL</t>
  </si>
  <si>
    <t>RT0402BRD0710KL</t>
  </si>
  <si>
    <t>RC0402FR-071K5L</t>
  </si>
  <si>
    <t>RC0402FR-071KL</t>
  </si>
  <si>
    <t>RC0402FR-07100KL</t>
  </si>
  <si>
    <t>RC0402FR-07499RL</t>
  </si>
  <si>
    <t>RC0402FR-07240RL</t>
  </si>
  <si>
    <t>RC0603FR-0722K1L</t>
  </si>
  <si>
    <t>RC0402FR-0710KL</t>
  </si>
  <si>
    <t>RC0603FR-07220RL</t>
  </si>
  <si>
    <t>RC0603FR-0747K5L</t>
  </si>
  <si>
    <t>RC0603FR-0749R9L</t>
  </si>
  <si>
    <t>RT0603BRD07240RL</t>
  </si>
  <si>
    <t>RC0402FR-074K7L</t>
  </si>
  <si>
    <t>RC0603FR-0722RL</t>
  </si>
  <si>
    <t>RT1206BRD0759RL</t>
  </si>
  <si>
    <t>RC0402FR-070RL</t>
  </si>
  <si>
    <t>RC0603FR-07120RL</t>
  </si>
  <si>
    <t>RT0402BRE0727KL</t>
  </si>
  <si>
    <t>RT0402BRD078K2L</t>
  </si>
  <si>
    <t>RT0402BRD0722K1L</t>
  </si>
  <si>
    <t>LM25118Q1MHX/NOPB</t>
  </si>
  <si>
    <t>LMR33620CQ5RNXRQ1</t>
  </si>
  <si>
    <t>TLV76733QWDRBRQ1</t>
  </si>
  <si>
    <t>SN6501QDBVRQ1</t>
  </si>
  <si>
    <t>TPS76350QDBVRQ1</t>
  </si>
  <si>
    <t>CP2102N-A02-GQFN28R</t>
  </si>
  <si>
    <t>ISO1050DWR</t>
  </si>
  <si>
    <t>LM317MDCYR</t>
  </si>
  <si>
    <t>ADS1115IDGSR</t>
  </si>
  <si>
    <t>SN74HC14QDRQ1</t>
  </si>
  <si>
    <t>OPA350UA/2K5</t>
  </si>
  <si>
    <t>Manufacturer</t>
  </si>
  <si>
    <t>Samsung</t>
  </si>
  <si>
    <t>Panasonic</t>
  </si>
  <si>
    <t>Yageo</t>
  </si>
  <si>
    <t>Murata</t>
  </si>
  <si>
    <t>STMicroelectronics</t>
  </si>
  <si>
    <t>Diodes</t>
  </si>
  <si>
    <t>ON Semiconductor / Fairchild</t>
  </si>
  <si>
    <t>ON Semiconductor</t>
  </si>
  <si>
    <t>Nexperia</t>
  </si>
  <si>
    <t>UMW</t>
  </si>
  <si>
    <t>Bourns</t>
  </si>
  <si>
    <t>TDK</t>
  </si>
  <si>
    <t>Littelfuse Wickmann</t>
  </si>
  <si>
    <t>BOOMELE</t>
  </si>
  <si>
    <t>Foshan NationStar Optoelectronics</t>
  </si>
  <si>
    <t>Texas Instruments</t>
  </si>
  <si>
    <t>Jiangsu Changjing Electronics Technology</t>
  </si>
  <si>
    <t>Omron</t>
  </si>
  <si>
    <t>Wurth Electronics</t>
  </si>
  <si>
    <t>TI National Semiconductor</t>
  </si>
  <si>
    <t>Silicon Labs</t>
  </si>
  <si>
    <t>Espressif Systems</t>
  </si>
  <si>
    <t>XTX</t>
  </si>
  <si>
    <t>1uF</t>
  </si>
  <si>
    <t>0.1uF</t>
  </si>
  <si>
    <t>10uF</t>
  </si>
  <si>
    <t>100uF</t>
  </si>
  <si>
    <t>470nF</t>
  </si>
  <si>
    <t>22nF</t>
  </si>
  <si>
    <t>470pF</t>
  </si>
  <si>
    <t>47nF</t>
  </si>
  <si>
    <t>1nF</t>
  </si>
  <si>
    <t>4.7UF</t>
  </si>
  <si>
    <t>47uF</t>
  </si>
  <si>
    <t>22uF</t>
  </si>
  <si>
    <t>68pF</t>
  </si>
  <si>
    <t>4.7nF</t>
  </si>
  <si>
    <t>15nF</t>
  </si>
  <si>
    <t>MSP3V3HM3/89A</t>
  </si>
  <si>
    <t>8.2uH</t>
  </si>
  <si>
    <t>2.2uH</t>
  </si>
  <si>
    <t>34.8k</t>
  </si>
  <si>
    <t>1M</t>
  </si>
  <si>
    <t>12.1k</t>
  </si>
  <si>
    <t>47K</t>
  </si>
  <si>
    <t>10mΩ</t>
  </si>
  <si>
    <t>1.6K</t>
  </si>
  <si>
    <t>8.66k</t>
  </si>
  <si>
    <t>21k</t>
  </si>
  <si>
    <t>10K</t>
  </si>
  <si>
    <t>1.5K</t>
  </si>
  <si>
    <t>1K</t>
  </si>
  <si>
    <t>100K</t>
  </si>
  <si>
    <t>499R</t>
  </si>
  <si>
    <t>240R</t>
  </si>
  <si>
    <t>2K</t>
  </si>
  <si>
    <t>22.1K</t>
  </si>
  <si>
    <t>220R</t>
  </si>
  <si>
    <t>47.5K</t>
  </si>
  <si>
    <t>49.9R</t>
  </si>
  <si>
    <t>4.7K</t>
  </si>
  <si>
    <t>22R</t>
  </si>
  <si>
    <t>59R</t>
  </si>
  <si>
    <t>0R</t>
  </si>
  <si>
    <t>120R</t>
  </si>
  <si>
    <t>27K</t>
  </si>
  <si>
    <t>8.2K</t>
  </si>
  <si>
    <t>Quantity</t>
  </si>
  <si>
    <t>Peripheral</t>
  </si>
  <si>
    <t>-</t>
  </si>
  <si>
    <t>VoltLink CP2102N USB Serial Adapter &amp; Programmer</t>
  </si>
  <si>
    <t>Voltlink</t>
  </si>
  <si>
    <t>Tinde</t>
  </si>
  <si>
    <t>Shenzhen Kinghelm Elec</t>
  </si>
  <si>
    <t>3dBi - Antennas ROHS</t>
  </si>
  <si>
    <t>HJ-2.4GHz 3dBi-SMA</t>
  </si>
  <si>
    <t>HJ Tech</t>
  </si>
  <si>
    <t>6.5cm IPEX to SMA 1Gen - Radio Frequency Cable ROHS</t>
  </si>
  <si>
    <t>GRM158R61A226ME15D</t>
  </si>
  <si>
    <t>Vishay</t>
  </si>
  <si>
    <t>Value</t>
  </si>
  <si>
    <t>Remarks</t>
  </si>
  <si>
    <t>RC0402FR-072KL</t>
  </si>
  <si>
    <t>KHB65-37(11)-28-A/3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</si>
</sst>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</font>
    <font>
      <b/>
      <sz val="10"/>
      <color theme="1"/>
      <name val="Calibri"/>
    </font>
    <font>
      <sz val="9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Font="1" applyAlignment="1"/>
    <xf numFmtId="0" fontId="6" fillId="4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1"/>
  <sheetViews>
    <sheetView tabSelected="1" topLeftCell="A76" workbookViewId="0">
      <selection activeCell="F34" sqref="F3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105</v>
      </c>
      <c r="F2" s="5" t="s">
        <v>191</v>
      </c>
      <c r="G2" s="6" t="s">
        <v>233</v>
      </c>
      <c r="H2" s="5" t="s">
        <v>306</v>
      </c>
      <c r="I2" s="6" t="s">
        <v>387</v>
      </c>
      <c r="J2" s="5" t="s">
        <v>374</v>
      </c>
      <c r="K2" s="5" t="s">
        <v>388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19</v>
      </c>
      <c r="E3" s="8" t="s">
        <v>106</v>
      </c>
      <c r="F3" s="7" t="s">
        <v>192</v>
      </c>
      <c r="G3" s="8" t="s">
        <v>234</v>
      </c>
      <c r="H3" s="7" t="s">
        <v>307</v>
      </c>
      <c r="I3" s="8" t="s">
        <v>330</v>
      </c>
      <c r="J3" s="7">
        <v>9</v>
      </c>
      <c r="K3" s="7"/>
    </row>
    <row r="4" spans="1:11" ht="48.75" thickBot="1" x14ac:dyDescent="0.3">
      <c r="A4" s="1"/>
      <c r="B4" s="11">
        <f t="shared" ref="B4:B88" si="0">ROW(B4) - ROW($B$2)</f>
        <v>2</v>
      </c>
      <c r="C4" s="12" t="s">
        <v>2</v>
      </c>
      <c r="D4" s="9" t="s">
        <v>20</v>
      </c>
      <c r="E4" s="10" t="s">
        <v>107</v>
      </c>
      <c r="F4" s="9" t="s">
        <v>192</v>
      </c>
      <c r="G4" s="10" t="s">
        <v>235</v>
      </c>
      <c r="H4" s="9" t="s">
        <v>307</v>
      </c>
      <c r="I4" s="10" t="s">
        <v>331</v>
      </c>
      <c r="J4" s="9">
        <v>31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108</v>
      </c>
      <c r="F5" s="7" t="s">
        <v>193</v>
      </c>
      <c r="G5" s="8" t="s">
        <v>193</v>
      </c>
      <c r="H5" s="7" t="s">
        <v>308</v>
      </c>
      <c r="I5" s="8" t="s">
        <v>332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22</v>
      </c>
      <c r="E6" s="10" t="s">
        <v>109</v>
      </c>
      <c r="F6" s="9" t="s">
        <v>194</v>
      </c>
      <c r="G6" s="10" t="s">
        <v>194</v>
      </c>
      <c r="H6" s="9" t="s">
        <v>308</v>
      </c>
      <c r="I6" s="10" t="s">
        <v>333</v>
      </c>
      <c r="J6" s="9">
        <v>2</v>
      </c>
      <c r="K6" s="9"/>
    </row>
    <row r="7" spans="1:11" ht="24.75" thickBot="1" x14ac:dyDescent="0.3">
      <c r="A7" s="1"/>
      <c r="B7" s="11">
        <f>ROW(B7) - ROW($B$2)</f>
        <v>5</v>
      </c>
      <c r="C7" s="12" t="s">
        <v>2</v>
      </c>
      <c r="D7" s="7" t="s">
        <v>23</v>
      </c>
      <c r="E7" s="8" t="s">
        <v>110</v>
      </c>
      <c r="F7" s="7" t="s">
        <v>195</v>
      </c>
      <c r="G7" s="8" t="s">
        <v>236</v>
      </c>
      <c r="H7" s="7" t="s">
        <v>309</v>
      </c>
      <c r="I7" s="8" t="s">
        <v>334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24</v>
      </c>
      <c r="E8" s="10" t="s">
        <v>111</v>
      </c>
      <c r="F8" s="9" t="s">
        <v>195</v>
      </c>
      <c r="G8" s="10" t="s">
        <v>237</v>
      </c>
      <c r="H8" s="9" t="s">
        <v>309</v>
      </c>
      <c r="I8" s="10" t="s">
        <v>335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25</v>
      </c>
      <c r="E9" s="8" t="s">
        <v>112</v>
      </c>
      <c r="F9" s="7" t="s">
        <v>195</v>
      </c>
      <c r="G9" s="8" t="s">
        <v>238</v>
      </c>
      <c r="H9" s="7" t="s">
        <v>309</v>
      </c>
      <c r="I9" s="8" t="s">
        <v>336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26</v>
      </c>
      <c r="E10" s="10" t="s">
        <v>113</v>
      </c>
      <c r="F10" s="9" t="s">
        <v>192</v>
      </c>
      <c r="G10" s="10" t="s">
        <v>239</v>
      </c>
      <c r="H10" s="9" t="s">
        <v>310</v>
      </c>
      <c r="I10" s="10" t="s">
        <v>337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27</v>
      </c>
      <c r="E11" s="8" t="s">
        <v>114</v>
      </c>
      <c r="F11" s="7" t="s">
        <v>192</v>
      </c>
      <c r="G11" s="8" t="s">
        <v>240</v>
      </c>
      <c r="H11" s="7" t="s">
        <v>310</v>
      </c>
      <c r="I11" s="8" t="s">
        <v>338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28</v>
      </c>
      <c r="E12" s="10" t="s">
        <v>115</v>
      </c>
      <c r="F12" s="9" t="s">
        <v>195</v>
      </c>
      <c r="G12" s="10" t="s">
        <v>241</v>
      </c>
      <c r="H12" s="9" t="s">
        <v>307</v>
      </c>
      <c r="I12" s="10" t="s">
        <v>339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29</v>
      </c>
      <c r="E13" s="8" t="s">
        <v>116</v>
      </c>
      <c r="F13" s="7" t="s">
        <v>196</v>
      </c>
      <c r="G13" s="8" t="s">
        <v>242</v>
      </c>
      <c r="H13" s="7" t="s">
        <v>310</v>
      </c>
      <c r="I13" s="8" t="s">
        <v>340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30</v>
      </c>
      <c r="E14" s="10" t="s">
        <v>117</v>
      </c>
      <c r="F14" s="9" t="s">
        <v>192</v>
      </c>
      <c r="G14" s="10" t="s">
        <v>243</v>
      </c>
      <c r="H14" s="9" t="s">
        <v>309</v>
      </c>
      <c r="I14" s="10" t="s">
        <v>330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31</v>
      </c>
      <c r="E15" s="8" t="s">
        <v>118</v>
      </c>
      <c r="F15" s="7" t="s">
        <v>192</v>
      </c>
      <c r="G15" s="8" t="s">
        <v>244</v>
      </c>
      <c r="H15" s="7" t="s">
        <v>309</v>
      </c>
      <c r="I15" s="8" t="s">
        <v>332</v>
      </c>
      <c r="J15" s="7">
        <v>7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32</v>
      </c>
      <c r="E16" s="10" t="s">
        <v>119</v>
      </c>
      <c r="F16" s="9" t="s">
        <v>192</v>
      </c>
      <c r="G16" s="22" t="s">
        <v>385</v>
      </c>
      <c r="H16" s="21" t="s">
        <v>310</v>
      </c>
      <c r="I16" s="10" t="s">
        <v>341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33</v>
      </c>
      <c r="E17" s="8" t="s">
        <v>120</v>
      </c>
      <c r="F17" s="7" t="s">
        <v>195</v>
      </c>
      <c r="G17" s="8" t="s">
        <v>245</v>
      </c>
      <c r="H17" s="7" t="s">
        <v>318</v>
      </c>
      <c r="I17" s="8" t="s">
        <v>342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34</v>
      </c>
      <c r="E18" s="10" t="s">
        <v>121</v>
      </c>
      <c r="F18" s="9" t="s">
        <v>195</v>
      </c>
      <c r="G18" s="10" t="s">
        <v>246</v>
      </c>
      <c r="H18" s="9" t="s">
        <v>309</v>
      </c>
      <c r="I18" s="10" t="s">
        <v>343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2</v>
      </c>
      <c r="D19" s="7" t="s">
        <v>35</v>
      </c>
      <c r="E19" s="8" t="s">
        <v>122</v>
      </c>
      <c r="F19" s="7" t="s">
        <v>192</v>
      </c>
      <c r="G19" s="8" t="s">
        <v>247</v>
      </c>
      <c r="H19" s="7" t="s">
        <v>309</v>
      </c>
      <c r="I19" s="8" t="s">
        <v>335</v>
      </c>
      <c r="J19" s="7">
        <v>12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36</v>
      </c>
      <c r="E20" s="10" t="s">
        <v>123</v>
      </c>
      <c r="F20" s="9" t="s">
        <v>192</v>
      </c>
      <c r="G20" s="10" t="s">
        <v>248</v>
      </c>
      <c r="H20" s="9" t="s">
        <v>309</v>
      </c>
      <c r="I20" s="10" t="s">
        <v>331</v>
      </c>
      <c r="J20" s="9">
        <v>4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37</v>
      </c>
      <c r="E21" s="8" t="s">
        <v>124</v>
      </c>
      <c r="F21" s="7" t="s">
        <v>192</v>
      </c>
      <c r="G21" s="8" t="s">
        <v>249</v>
      </c>
      <c r="H21" s="7" t="s">
        <v>309</v>
      </c>
      <c r="I21" s="8" t="s">
        <v>344</v>
      </c>
      <c r="J21" s="7">
        <v>4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3</v>
      </c>
      <c r="D22" s="9" t="s">
        <v>38</v>
      </c>
      <c r="E22" s="10" t="s">
        <v>125</v>
      </c>
      <c r="F22" s="9" t="s">
        <v>197</v>
      </c>
      <c r="G22" s="10" t="s">
        <v>250</v>
      </c>
      <c r="H22" s="9" t="s">
        <v>311</v>
      </c>
      <c r="I22" s="10" t="s">
        <v>376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3</v>
      </c>
      <c r="D23" s="7" t="s">
        <v>39</v>
      </c>
      <c r="E23" s="8" t="s">
        <v>126</v>
      </c>
      <c r="F23" s="7" t="s">
        <v>198</v>
      </c>
      <c r="G23" s="8" t="s">
        <v>251</v>
      </c>
      <c r="H23" s="7" t="s">
        <v>312</v>
      </c>
      <c r="I23" s="10" t="s">
        <v>376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2" t="s">
        <v>3</v>
      </c>
      <c r="D24" s="9" t="s">
        <v>40</v>
      </c>
      <c r="E24" s="10" t="s">
        <v>127</v>
      </c>
      <c r="F24" s="9" t="s">
        <v>199</v>
      </c>
      <c r="G24" s="10" t="s">
        <v>252</v>
      </c>
      <c r="H24" s="9" t="s">
        <v>313</v>
      </c>
      <c r="I24" s="10" t="s">
        <v>376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3</v>
      </c>
      <c r="D25" s="7" t="s">
        <v>41</v>
      </c>
      <c r="E25" s="8" t="s">
        <v>128</v>
      </c>
      <c r="F25" s="7" t="s">
        <v>200</v>
      </c>
      <c r="G25" s="8" t="s">
        <v>253</v>
      </c>
      <c r="H25" s="7" t="s">
        <v>312</v>
      </c>
      <c r="I25" s="10" t="s">
        <v>376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2" t="s">
        <v>3</v>
      </c>
      <c r="D26" s="9" t="s">
        <v>42</v>
      </c>
      <c r="E26" s="10" t="s">
        <v>129</v>
      </c>
      <c r="F26" s="9" t="s">
        <v>201</v>
      </c>
      <c r="G26" s="10" t="s">
        <v>254</v>
      </c>
      <c r="H26" s="9" t="s">
        <v>314</v>
      </c>
      <c r="I26" s="10" t="s">
        <v>376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3</v>
      </c>
      <c r="D27" s="7" t="s">
        <v>43</v>
      </c>
      <c r="E27" s="8" t="s">
        <v>130</v>
      </c>
      <c r="F27" s="7" t="s">
        <v>202</v>
      </c>
      <c r="G27" s="8" t="s">
        <v>255</v>
      </c>
      <c r="H27" s="7" t="s">
        <v>315</v>
      </c>
      <c r="I27" s="10" t="s">
        <v>376</v>
      </c>
      <c r="J27" s="7">
        <v>1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4</v>
      </c>
      <c r="D28" s="9" t="s">
        <v>44</v>
      </c>
      <c r="E28" s="10" t="s">
        <v>131</v>
      </c>
      <c r="F28" s="9" t="s">
        <v>203</v>
      </c>
      <c r="G28" s="10" t="s">
        <v>256</v>
      </c>
      <c r="H28" s="9" t="s">
        <v>316</v>
      </c>
      <c r="I28" s="10" t="s">
        <v>376</v>
      </c>
      <c r="J28" s="9">
        <v>3</v>
      </c>
      <c r="K28" s="9"/>
    </row>
    <row r="29" spans="1:11" ht="26.25" thickBot="1" x14ac:dyDescent="0.3">
      <c r="A29" s="1"/>
      <c r="B29" s="11">
        <f>ROW(B29) - ROW($B$2)</f>
        <v>27</v>
      </c>
      <c r="C29" s="12" t="s">
        <v>5</v>
      </c>
      <c r="D29" s="7" t="s">
        <v>45</v>
      </c>
      <c r="E29" s="8" t="s">
        <v>132</v>
      </c>
      <c r="F29" s="7" t="s">
        <v>204</v>
      </c>
      <c r="G29" s="8" t="s">
        <v>257</v>
      </c>
      <c r="H29" s="7" t="s">
        <v>317</v>
      </c>
      <c r="I29" s="10" t="s">
        <v>376</v>
      </c>
      <c r="J29" s="7">
        <v>1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6</v>
      </c>
      <c r="D30" s="9" t="s">
        <v>46</v>
      </c>
      <c r="E30" s="10" t="s">
        <v>133</v>
      </c>
      <c r="F30" s="9" t="s">
        <v>205</v>
      </c>
      <c r="G30" s="19" t="s">
        <v>345</v>
      </c>
      <c r="H30" s="18" t="s">
        <v>386</v>
      </c>
      <c r="I30" s="10" t="s">
        <v>376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7</v>
      </c>
      <c r="D31" s="7" t="s">
        <v>47</v>
      </c>
      <c r="E31" s="8" t="s">
        <v>134</v>
      </c>
      <c r="F31" s="7" t="s">
        <v>206</v>
      </c>
      <c r="G31" s="8" t="s">
        <v>258</v>
      </c>
      <c r="H31" s="7" t="s">
        <v>318</v>
      </c>
      <c r="I31" s="10" t="s">
        <v>376</v>
      </c>
      <c r="J31" s="7">
        <v>5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8</v>
      </c>
      <c r="D32" s="9" t="s">
        <v>48</v>
      </c>
      <c r="E32" s="10" t="s">
        <v>135</v>
      </c>
      <c r="F32" s="9" t="s">
        <v>207</v>
      </c>
      <c r="G32" s="10" t="s">
        <v>207</v>
      </c>
      <c r="H32" s="9" t="s">
        <v>319</v>
      </c>
      <c r="I32" s="10" t="s">
        <v>376</v>
      </c>
      <c r="J32" s="9">
        <v>1</v>
      </c>
      <c r="K32" s="9"/>
    </row>
    <row r="33" spans="1:11" ht="36.75" thickBot="1" x14ac:dyDescent="0.3">
      <c r="A33" s="1"/>
      <c r="B33" s="11">
        <f>ROW(B33) - ROW($B$2)</f>
        <v>31</v>
      </c>
      <c r="C33" s="12" t="s">
        <v>9</v>
      </c>
      <c r="D33" s="7" t="s">
        <v>49</v>
      </c>
      <c r="E33" s="8" t="s">
        <v>136</v>
      </c>
      <c r="F33" s="7" t="s">
        <v>208</v>
      </c>
      <c r="G33" s="8" t="s">
        <v>259</v>
      </c>
      <c r="H33" s="7" t="s">
        <v>320</v>
      </c>
      <c r="I33" s="10" t="s">
        <v>376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/>
      <c r="D34" s="9" t="s">
        <v>50</v>
      </c>
      <c r="E34" s="10"/>
      <c r="F34" s="9" t="s">
        <v>209</v>
      </c>
      <c r="G34" s="10"/>
      <c r="H34" s="9"/>
      <c r="I34" s="10" t="s">
        <v>376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10</v>
      </c>
      <c r="D35" s="7" t="s">
        <v>51</v>
      </c>
      <c r="E35" s="8" t="s">
        <v>137</v>
      </c>
      <c r="F35" s="7" t="s">
        <v>210</v>
      </c>
      <c r="G35" s="8" t="s">
        <v>210</v>
      </c>
      <c r="H35" s="7" t="s">
        <v>317</v>
      </c>
      <c r="I35" s="8" t="s">
        <v>346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10</v>
      </c>
      <c r="D36" s="9" t="s">
        <v>52</v>
      </c>
      <c r="E36" s="10" t="s">
        <v>138</v>
      </c>
      <c r="F36" s="9" t="s">
        <v>211</v>
      </c>
      <c r="G36" s="10" t="s">
        <v>211</v>
      </c>
      <c r="H36" s="9" t="s">
        <v>318</v>
      </c>
      <c r="I36" s="10" t="s">
        <v>347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11</v>
      </c>
      <c r="D37" s="7" t="s">
        <v>53</v>
      </c>
      <c r="E37" s="8" t="s">
        <v>139</v>
      </c>
      <c r="F37" s="7" t="s">
        <v>212</v>
      </c>
      <c r="G37" s="8" t="s">
        <v>212</v>
      </c>
      <c r="H37" s="7" t="s">
        <v>318</v>
      </c>
      <c r="I37" s="8"/>
      <c r="J37" s="7">
        <v>1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12</v>
      </c>
      <c r="D38" s="9" t="s">
        <v>54</v>
      </c>
      <c r="E38" s="10" t="s">
        <v>140</v>
      </c>
      <c r="F38" s="9" t="s">
        <v>213</v>
      </c>
      <c r="G38" s="10" t="s">
        <v>260</v>
      </c>
      <c r="H38" s="9" t="s">
        <v>321</v>
      </c>
      <c r="I38" s="10"/>
      <c r="J38" s="9">
        <v>4</v>
      </c>
      <c r="K38" s="9"/>
    </row>
    <row r="39" spans="1:11" ht="24.75" thickBot="1" x14ac:dyDescent="0.3">
      <c r="A39" s="1"/>
      <c r="B39" s="11">
        <f>ROW(B39) - ROW($B$2)</f>
        <v>37</v>
      </c>
      <c r="C39" s="12" t="s">
        <v>12</v>
      </c>
      <c r="D39" s="7" t="s">
        <v>55</v>
      </c>
      <c r="E39" s="8" t="s">
        <v>141</v>
      </c>
      <c r="F39" s="7" t="s">
        <v>213</v>
      </c>
      <c r="G39" s="8" t="s">
        <v>261</v>
      </c>
      <c r="H39" s="7" t="s">
        <v>321</v>
      </c>
      <c r="I39" s="8"/>
      <c r="J39" s="7">
        <v>2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12</v>
      </c>
      <c r="D40" s="9" t="s">
        <v>56</v>
      </c>
      <c r="E40" s="10" t="s">
        <v>142</v>
      </c>
      <c r="F40" s="9" t="s">
        <v>213</v>
      </c>
      <c r="G40" s="10" t="s">
        <v>262</v>
      </c>
      <c r="H40" s="9" t="s">
        <v>321</v>
      </c>
      <c r="I40" s="10"/>
      <c r="J40" s="9">
        <v>1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12</v>
      </c>
      <c r="D41" s="7" t="s">
        <v>57</v>
      </c>
      <c r="E41" s="8" t="s">
        <v>143</v>
      </c>
      <c r="F41" s="7" t="s">
        <v>213</v>
      </c>
      <c r="G41" s="8" t="s">
        <v>263</v>
      </c>
      <c r="H41" s="7" t="s">
        <v>321</v>
      </c>
      <c r="I41" s="8"/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13</v>
      </c>
      <c r="D42" s="9" t="s">
        <v>58</v>
      </c>
      <c r="E42" s="10" t="s">
        <v>144</v>
      </c>
      <c r="F42" s="9" t="s">
        <v>214</v>
      </c>
      <c r="G42" s="10" t="s">
        <v>264</v>
      </c>
      <c r="H42" s="9" t="s">
        <v>322</v>
      </c>
      <c r="I42" s="10"/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3" t="s">
        <v>13</v>
      </c>
      <c r="D43" s="7" t="s">
        <v>59</v>
      </c>
      <c r="E43" s="8" t="s">
        <v>145</v>
      </c>
      <c r="F43" s="7" t="s">
        <v>215</v>
      </c>
      <c r="G43" s="8" t="s">
        <v>265</v>
      </c>
      <c r="H43" s="7" t="s">
        <v>322</v>
      </c>
      <c r="I43" s="8"/>
      <c r="J43" s="7">
        <v>1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13</v>
      </c>
      <c r="D44" s="9" t="s">
        <v>60</v>
      </c>
      <c r="E44" s="10" t="s">
        <v>146</v>
      </c>
      <c r="F44" s="9" t="s">
        <v>204</v>
      </c>
      <c r="G44" s="10" t="s">
        <v>266</v>
      </c>
      <c r="H44" s="9" t="s">
        <v>323</v>
      </c>
      <c r="I44" s="10"/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14</v>
      </c>
      <c r="D45" s="7" t="s">
        <v>61</v>
      </c>
      <c r="E45" s="8" t="s">
        <v>147</v>
      </c>
      <c r="F45" s="7" t="s">
        <v>216</v>
      </c>
      <c r="G45" s="8" t="s">
        <v>267</v>
      </c>
      <c r="H45" s="7" t="s">
        <v>309</v>
      </c>
      <c r="I45" s="8" t="s">
        <v>348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14</v>
      </c>
      <c r="D46" s="9" t="s">
        <v>62</v>
      </c>
      <c r="E46" s="10" t="s">
        <v>148</v>
      </c>
      <c r="F46" s="9" t="s">
        <v>217</v>
      </c>
      <c r="G46" s="10" t="s">
        <v>268</v>
      </c>
      <c r="H46" s="9" t="s">
        <v>309</v>
      </c>
      <c r="I46" s="10" t="s">
        <v>349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14</v>
      </c>
      <c r="D47" s="7" t="s">
        <v>63</v>
      </c>
      <c r="E47" s="8" t="s">
        <v>149</v>
      </c>
      <c r="F47" s="7" t="s">
        <v>216</v>
      </c>
      <c r="G47" s="8" t="s">
        <v>269</v>
      </c>
      <c r="H47" s="7" t="s">
        <v>309</v>
      </c>
      <c r="I47" s="8" t="s">
        <v>350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14</v>
      </c>
      <c r="D48" s="9" t="s">
        <v>64</v>
      </c>
      <c r="E48" s="10" t="s">
        <v>150</v>
      </c>
      <c r="F48" s="9" t="s">
        <v>217</v>
      </c>
      <c r="G48" s="10" t="s">
        <v>270</v>
      </c>
      <c r="H48" s="9" t="s">
        <v>309</v>
      </c>
      <c r="I48" s="10" t="s">
        <v>351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14</v>
      </c>
      <c r="D49" s="7" t="s">
        <v>65</v>
      </c>
      <c r="E49" s="8" t="s">
        <v>151</v>
      </c>
      <c r="F49" s="7" t="s">
        <v>218</v>
      </c>
      <c r="G49" s="8" t="s">
        <v>271</v>
      </c>
      <c r="H49" s="7" t="s">
        <v>317</v>
      </c>
      <c r="I49" s="8" t="s">
        <v>352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14</v>
      </c>
      <c r="D50" s="9" t="s">
        <v>66</v>
      </c>
      <c r="E50" s="10" t="s">
        <v>152</v>
      </c>
      <c r="F50" s="9" t="s">
        <v>216</v>
      </c>
      <c r="G50" s="10" t="s">
        <v>272</v>
      </c>
      <c r="H50" s="9" t="s">
        <v>309</v>
      </c>
      <c r="I50" s="10" t="s">
        <v>353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14</v>
      </c>
      <c r="D51" s="7" t="s">
        <v>67</v>
      </c>
      <c r="E51" s="8" t="s">
        <v>153</v>
      </c>
      <c r="F51" s="7" t="s">
        <v>216</v>
      </c>
      <c r="G51" s="8" t="s">
        <v>273</v>
      </c>
      <c r="H51" s="7" t="s">
        <v>309</v>
      </c>
      <c r="I51" s="8" t="s">
        <v>354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14</v>
      </c>
      <c r="D52" s="9" t="s">
        <v>68</v>
      </c>
      <c r="E52" s="10" t="s">
        <v>154</v>
      </c>
      <c r="F52" s="9" t="s">
        <v>216</v>
      </c>
      <c r="G52" s="10" t="s">
        <v>274</v>
      </c>
      <c r="H52" s="9" t="s">
        <v>309</v>
      </c>
      <c r="I52" s="10" t="s">
        <v>355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14</v>
      </c>
      <c r="D53" s="7" t="s">
        <v>69</v>
      </c>
      <c r="E53" s="8" t="s">
        <v>155</v>
      </c>
      <c r="F53" s="7" t="s">
        <v>216</v>
      </c>
      <c r="G53" s="8" t="s">
        <v>275</v>
      </c>
      <c r="H53" s="7" t="s">
        <v>309</v>
      </c>
      <c r="I53" s="8" t="s">
        <v>356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2" t="s">
        <v>14</v>
      </c>
      <c r="D54" s="9" t="s">
        <v>70</v>
      </c>
      <c r="E54" s="10" t="s">
        <v>156</v>
      </c>
      <c r="F54" s="9" t="s">
        <v>216</v>
      </c>
      <c r="G54" s="10" t="s">
        <v>276</v>
      </c>
      <c r="H54" s="9" t="s">
        <v>309</v>
      </c>
      <c r="I54" s="10" t="s">
        <v>357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14</v>
      </c>
      <c r="D55" s="7" t="s">
        <v>71</v>
      </c>
      <c r="E55" s="8" t="s">
        <v>157</v>
      </c>
      <c r="F55" s="7" t="s">
        <v>216</v>
      </c>
      <c r="G55" s="8" t="s">
        <v>277</v>
      </c>
      <c r="H55" s="7" t="s">
        <v>309</v>
      </c>
      <c r="I55" s="8" t="s">
        <v>358</v>
      </c>
      <c r="J55" s="7">
        <v>5</v>
      </c>
      <c r="K55" s="7"/>
    </row>
    <row r="56" spans="1:11" ht="15.75" thickBot="1" x14ac:dyDescent="0.3">
      <c r="A56" s="1"/>
      <c r="B56" s="11">
        <f t="shared" si="0"/>
        <v>54</v>
      </c>
      <c r="C56" s="12" t="s">
        <v>14</v>
      </c>
      <c r="D56" s="9" t="s">
        <v>72</v>
      </c>
      <c r="E56" s="10" t="s">
        <v>158</v>
      </c>
      <c r="F56" s="9" t="s">
        <v>216</v>
      </c>
      <c r="G56" s="10" t="s">
        <v>278</v>
      </c>
      <c r="H56" s="9" t="s">
        <v>309</v>
      </c>
      <c r="I56" s="10" t="s">
        <v>359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14</v>
      </c>
      <c r="D57" s="7" t="s">
        <v>73</v>
      </c>
      <c r="E57" s="8" t="s">
        <v>159</v>
      </c>
      <c r="F57" s="7" t="s">
        <v>216</v>
      </c>
      <c r="G57" s="8" t="s">
        <v>279</v>
      </c>
      <c r="H57" s="7" t="s">
        <v>309</v>
      </c>
      <c r="I57" s="8" t="s">
        <v>360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2" t="s">
        <v>14</v>
      </c>
      <c r="D58" s="9" t="s">
        <v>74</v>
      </c>
      <c r="E58" s="10" t="s">
        <v>160</v>
      </c>
      <c r="F58" s="9" t="s">
        <v>216</v>
      </c>
      <c r="G58" s="10" t="s">
        <v>280</v>
      </c>
      <c r="H58" s="9" t="s">
        <v>309</v>
      </c>
      <c r="I58" s="10" t="s">
        <v>361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14</v>
      </c>
      <c r="D59" s="7" t="s">
        <v>75</v>
      </c>
      <c r="E59" s="8" t="s">
        <v>161</v>
      </c>
      <c r="F59" s="7" t="s">
        <v>216</v>
      </c>
      <c r="G59" s="22" t="s">
        <v>389</v>
      </c>
      <c r="H59" s="9" t="s">
        <v>309</v>
      </c>
      <c r="I59" s="8" t="s">
        <v>362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14</v>
      </c>
      <c r="D60" s="9" t="s">
        <v>76</v>
      </c>
      <c r="E60" s="10" t="s">
        <v>162</v>
      </c>
      <c r="F60" s="9" t="s">
        <v>217</v>
      </c>
      <c r="G60" s="10" t="s">
        <v>281</v>
      </c>
      <c r="H60" s="9" t="s">
        <v>309</v>
      </c>
      <c r="I60" s="10" t="s">
        <v>363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14</v>
      </c>
      <c r="D61" s="7" t="s">
        <v>77</v>
      </c>
      <c r="E61" s="8" t="s">
        <v>163</v>
      </c>
      <c r="F61" s="7" t="s">
        <v>216</v>
      </c>
      <c r="G61" s="8" t="s">
        <v>282</v>
      </c>
      <c r="H61" s="7" t="s">
        <v>309</v>
      </c>
      <c r="I61" s="8" t="s">
        <v>356</v>
      </c>
      <c r="J61" s="7">
        <v>6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14</v>
      </c>
      <c r="D62" s="9" t="s">
        <v>78</v>
      </c>
      <c r="E62" s="10" t="s">
        <v>164</v>
      </c>
      <c r="F62" s="9" t="s">
        <v>217</v>
      </c>
      <c r="G62" s="10" t="s">
        <v>283</v>
      </c>
      <c r="H62" s="9" t="s">
        <v>309</v>
      </c>
      <c r="I62" s="10" t="s">
        <v>364</v>
      </c>
      <c r="J62" s="9">
        <v>2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14</v>
      </c>
      <c r="D63" s="7" t="s">
        <v>79</v>
      </c>
      <c r="E63" s="8" t="s">
        <v>165</v>
      </c>
      <c r="F63" s="7" t="s">
        <v>217</v>
      </c>
      <c r="G63" s="8" t="s">
        <v>284</v>
      </c>
      <c r="H63" s="7" t="s">
        <v>309</v>
      </c>
      <c r="I63" s="8" t="s">
        <v>365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14</v>
      </c>
      <c r="D64" s="9" t="s">
        <v>80</v>
      </c>
      <c r="E64" s="10" t="s">
        <v>166</v>
      </c>
      <c r="F64" s="9" t="s">
        <v>217</v>
      </c>
      <c r="G64" s="10" t="s">
        <v>285</v>
      </c>
      <c r="H64" s="9" t="s">
        <v>309</v>
      </c>
      <c r="I64" s="10" t="s">
        <v>366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3" t="s">
        <v>14</v>
      </c>
      <c r="D65" s="7" t="s">
        <v>81</v>
      </c>
      <c r="E65" s="8" t="s">
        <v>167</v>
      </c>
      <c r="F65" s="7" t="s">
        <v>217</v>
      </c>
      <c r="G65" s="8" t="s">
        <v>286</v>
      </c>
      <c r="H65" s="7" t="s">
        <v>309</v>
      </c>
      <c r="I65" s="8" t="s">
        <v>361</v>
      </c>
      <c r="J65" s="7">
        <v>1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14</v>
      </c>
      <c r="D66" s="9" t="s">
        <v>82</v>
      </c>
      <c r="E66" s="10" t="s">
        <v>168</v>
      </c>
      <c r="F66" s="9" t="s">
        <v>216</v>
      </c>
      <c r="G66" s="10" t="s">
        <v>287</v>
      </c>
      <c r="H66" s="9" t="s">
        <v>309</v>
      </c>
      <c r="I66" s="10" t="s">
        <v>367</v>
      </c>
      <c r="J66" s="9">
        <v>2</v>
      </c>
      <c r="K66" s="9"/>
    </row>
    <row r="67" spans="1:11" ht="15.75" thickBot="1" x14ac:dyDescent="0.3">
      <c r="A67" s="1"/>
      <c r="B67" s="11">
        <f>ROW(B67) - ROW($B$2)</f>
        <v>65</v>
      </c>
      <c r="C67" s="13" t="s">
        <v>14</v>
      </c>
      <c r="D67" s="7" t="s">
        <v>83</v>
      </c>
      <c r="E67" s="8" t="s">
        <v>169</v>
      </c>
      <c r="F67" s="7" t="s">
        <v>217</v>
      </c>
      <c r="G67" s="8" t="s">
        <v>288</v>
      </c>
      <c r="H67" s="7" t="s">
        <v>309</v>
      </c>
      <c r="I67" s="8" t="s">
        <v>368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14</v>
      </c>
      <c r="D68" s="9" t="s">
        <v>84</v>
      </c>
      <c r="E68" s="10" t="s">
        <v>170</v>
      </c>
      <c r="F68" s="9" t="s">
        <v>219</v>
      </c>
      <c r="G68" s="10" t="s">
        <v>289</v>
      </c>
      <c r="H68" s="9" t="s">
        <v>309</v>
      </c>
      <c r="I68" s="10" t="s">
        <v>369</v>
      </c>
      <c r="J68" s="9">
        <v>2</v>
      </c>
      <c r="K68" s="9"/>
    </row>
    <row r="69" spans="1:11" ht="15.75" thickBot="1" x14ac:dyDescent="0.3">
      <c r="A69" s="1"/>
      <c r="B69" s="11">
        <f>ROW(B69) - ROW($B$2)</f>
        <v>67</v>
      </c>
      <c r="C69" s="13" t="s">
        <v>14</v>
      </c>
      <c r="D69" s="7" t="s">
        <v>85</v>
      </c>
      <c r="E69" s="8" t="s">
        <v>171</v>
      </c>
      <c r="F69" s="7" t="s">
        <v>216</v>
      </c>
      <c r="G69" s="8" t="s">
        <v>290</v>
      </c>
      <c r="H69" s="7" t="s">
        <v>309</v>
      </c>
      <c r="I69" s="8" t="s">
        <v>370</v>
      </c>
      <c r="J69" s="7">
        <v>2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14</v>
      </c>
      <c r="D70" s="9" t="s">
        <v>86</v>
      </c>
      <c r="E70" s="10" t="s">
        <v>172</v>
      </c>
      <c r="F70" s="9" t="s">
        <v>217</v>
      </c>
      <c r="G70" s="10" t="s">
        <v>291</v>
      </c>
      <c r="H70" s="9" t="s">
        <v>309</v>
      </c>
      <c r="I70" s="10" t="s">
        <v>371</v>
      </c>
      <c r="J70" s="9">
        <v>4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14</v>
      </c>
      <c r="D71" s="7" t="s">
        <v>87</v>
      </c>
      <c r="E71" s="8" t="s">
        <v>173</v>
      </c>
      <c r="F71" s="7" t="s">
        <v>216</v>
      </c>
      <c r="G71" s="8" t="s">
        <v>292</v>
      </c>
      <c r="H71" s="7" t="s">
        <v>309</v>
      </c>
      <c r="I71" s="8" t="s">
        <v>372</v>
      </c>
      <c r="J71" s="7">
        <v>4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14</v>
      </c>
      <c r="D72" s="9" t="s">
        <v>88</v>
      </c>
      <c r="E72" s="10" t="s">
        <v>174</v>
      </c>
      <c r="F72" s="9" t="s">
        <v>216</v>
      </c>
      <c r="G72" s="10" t="s">
        <v>293</v>
      </c>
      <c r="H72" s="9" t="s">
        <v>309</v>
      </c>
      <c r="I72" s="10" t="s">
        <v>373</v>
      </c>
      <c r="J72" s="9">
        <v>8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14</v>
      </c>
      <c r="D73" s="7" t="s">
        <v>89</v>
      </c>
      <c r="E73" s="8" t="s">
        <v>175</v>
      </c>
      <c r="F73" s="7" t="s">
        <v>216</v>
      </c>
      <c r="G73" s="8" t="s">
        <v>294</v>
      </c>
      <c r="H73" s="7" t="s">
        <v>309</v>
      </c>
      <c r="I73" s="8" t="s">
        <v>363</v>
      </c>
      <c r="J73" s="7">
        <v>8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15</v>
      </c>
      <c r="D74" s="9" t="s">
        <v>90</v>
      </c>
      <c r="E74" s="10" t="s">
        <v>176</v>
      </c>
      <c r="F74" s="9" t="s">
        <v>220</v>
      </c>
      <c r="G74" s="10" t="s">
        <v>220</v>
      </c>
      <c r="H74" s="9" t="s">
        <v>324</v>
      </c>
      <c r="I74" s="10" t="s">
        <v>376</v>
      </c>
      <c r="J74" s="9">
        <v>2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16</v>
      </c>
      <c r="D75" s="7" t="s">
        <v>91</v>
      </c>
      <c r="E75" s="8" t="s">
        <v>177</v>
      </c>
      <c r="F75" s="7">
        <v>760390015</v>
      </c>
      <c r="G75" s="8">
        <v>760390015</v>
      </c>
      <c r="H75" s="7" t="s">
        <v>325</v>
      </c>
      <c r="I75" s="10" t="s">
        <v>376</v>
      </c>
      <c r="J75" s="7">
        <v>1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17</v>
      </c>
      <c r="D76" s="9" t="s">
        <v>92</v>
      </c>
      <c r="E76" s="10" t="s">
        <v>178</v>
      </c>
      <c r="F76" s="9" t="s">
        <v>221</v>
      </c>
      <c r="G76" s="10" t="s">
        <v>295</v>
      </c>
      <c r="H76" s="9" t="s">
        <v>326</v>
      </c>
      <c r="I76" s="10" t="s">
        <v>376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17</v>
      </c>
      <c r="D77" s="7" t="s">
        <v>93</v>
      </c>
      <c r="E77" s="8" t="s">
        <v>179</v>
      </c>
      <c r="F77" s="7" t="s">
        <v>222</v>
      </c>
      <c r="G77" s="8" t="s">
        <v>296</v>
      </c>
      <c r="H77" s="7" t="s">
        <v>322</v>
      </c>
      <c r="I77" s="10" t="s">
        <v>376</v>
      </c>
      <c r="J77" s="7">
        <v>1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17</v>
      </c>
      <c r="D78" s="9" t="s">
        <v>94</v>
      </c>
      <c r="E78" s="10" t="s">
        <v>180</v>
      </c>
      <c r="F78" s="9" t="s">
        <v>223</v>
      </c>
      <c r="G78" s="10" t="s">
        <v>297</v>
      </c>
      <c r="H78" s="9" t="s">
        <v>322</v>
      </c>
      <c r="I78" s="10" t="s">
        <v>376</v>
      </c>
      <c r="J78" s="9">
        <v>1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17</v>
      </c>
      <c r="D79" s="7" t="s">
        <v>95</v>
      </c>
      <c r="E79" s="8" t="s">
        <v>181</v>
      </c>
      <c r="F79" s="7" t="s">
        <v>224</v>
      </c>
      <c r="G79" s="8" t="s">
        <v>298</v>
      </c>
      <c r="H79" s="7" t="s">
        <v>322</v>
      </c>
      <c r="I79" s="10" t="s">
        <v>376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17</v>
      </c>
      <c r="D80" s="9" t="s">
        <v>96</v>
      </c>
      <c r="E80" s="10" t="s">
        <v>182</v>
      </c>
      <c r="F80" s="9" t="s">
        <v>224</v>
      </c>
      <c r="G80" s="10" t="s">
        <v>299</v>
      </c>
      <c r="H80" s="9" t="s">
        <v>322</v>
      </c>
      <c r="I80" s="10" t="s">
        <v>376</v>
      </c>
      <c r="J80" s="9">
        <v>1</v>
      </c>
      <c r="K80" s="9"/>
    </row>
    <row r="81" spans="1:12" ht="36.75" thickBot="1" x14ac:dyDescent="0.3">
      <c r="A81" s="1"/>
      <c r="B81" s="11">
        <f>ROW(B81) - ROW($B$2)</f>
        <v>79</v>
      </c>
      <c r="C81" s="13" t="s">
        <v>17</v>
      </c>
      <c r="D81" s="7" t="s">
        <v>97</v>
      </c>
      <c r="E81" s="8" t="s">
        <v>183</v>
      </c>
      <c r="F81" s="7" t="s">
        <v>225</v>
      </c>
      <c r="G81" s="8" t="s">
        <v>300</v>
      </c>
      <c r="H81" s="7" t="s">
        <v>327</v>
      </c>
      <c r="I81" s="10" t="s">
        <v>376</v>
      </c>
      <c r="J81" s="7">
        <v>1</v>
      </c>
      <c r="K81" s="7"/>
    </row>
    <row r="82" spans="1:12" ht="15.75" thickBot="1" x14ac:dyDescent="0.3">
      <c r="A82" s="1"/>
      <c r="B82" s="11">
        <f t="shared" si="0"/>
        <v>80</v>
      </c>
      <c r="C82" s="13" t="s">
        <v>17</v>
      </c>
      <c r="D82" s="9" t="s">
        <v>98</v>
      </c>
      <c r="E82" s="10" t="s">
        <v>184</v>
      </c>
      <c r="F82" s="9" t="s">
        <v>226</v>
      </c>
      <c r="G82" s="10" t="s">
        <v>226</v>
      </c>
      <c r="H82" s="9" t="s">
        <v>328</v>
      </c>
      <c r="I82" s="10" t="s">
        <v>376</v>
      </c>
      <c r="J82" s="9">
        <v>1</v>
      </c>
      <c r="K82" s="9"/>
    </row>
    <row r="83" spans="1:12" ht="24.75" thickBot="1" x14ac:dyDescent="0.3">
      <c r="A83" s="1"/>
      <c r="B83" s="11">
        <f>ROW(B83) - ROW($B$2)</f>
        <v>81</v>
      </c>
      <c r="C83" s="12" t="s">
        <v>1</v>
      </c>
      <c r="D83" s="7" t="s">
        <v>99</v>
      </c>
      <c r="E83" s="8" t="s">
        <v>185</v>
      </c>
      <c r="F83" s="7" t="s">
        <v>227</v>
      </c>
      <c r="G83" s="8" t="s">
        <v>227</v>
      </c>
      <c r="H83" s="7" t="s">
        <v>329</v>
      </c>
      <c r="I83" s="10" t="s">
        <v>376</v>
      </c>
      <c r="J83" s="7">
        <v>1</v>
      </c>
      <c r="K83" s="7"/>
    </row>
    <row r="84" spans="1:12" ht="15.75" thickBot="1" x14ac:dyDescent="0.3">
      <c r="A84" s="1"/>
      <c r="B84" s="11">
        <f t="shared" si="0"/>
        <v>82</v>
      </c>
      <c r="C84" s="13"/>
      <c r="D84" s="9" t="s">
        <v>100</v>
      </c>
      <c r="E84" s="10" t="s">
        <v>186</v>
      </c>
      <c r="F84" s="9" t="s">
        <v>228</v>
      </c>
      <c r="G84" s="10" t="s">
        <v>301</v>
      </c>
      <c r="H84" s="9" t="s">
        <v>322</v>
      </c>
      <c r="I84" s="10" t="s">
        <v>376</v>
      </c>
      <c r="J84" s="9">
        <v>1</v>
      </c>
      <c r="K84" s="9"/>
    </row>
    <row r="85" spans="1:12" ht="15.75" thickBot="1" x14ac:dyDescent="0.3">
      <c r="A85" s="1"/>
      <c r="B85" s="11">
        <f>ROW(B85) - ROW($B$2)</f>
        <v>83</v>
      </c>
      <c r="C85" s="12" t="s">
        <v>17</v>
      </c>
      <c r="D85" s="7" t="s">
        <v>101</v>
      </c>
      <c r="E85" s="8" t="s">
        <v>187</v>
      </c>
      <c r="F85" s="7" t="s">
        <v>229</v>
      </c>
      <c r="G85" s="8" t="s">
        <v>302</v>
      </c>
      <c r="H85" s="7" t="s">
        <v>322</v>
      </c>
      <c r="I85" s="10" t="s">
        <v>376</v>
      </c>
      <c r="J85" s="7">
        <v>4</v>
      </c>
      <c r="K85" s="7"/>
    </row>
    <row r="86" spans="1:12" ht="15.75" thickBot="1" x14ac:dyDescent="0.3">
      <c r="A86" s="1"/>
      <c r="B86" s="11">
        <f t="shared" si="0"/>
        <v>84</v>
      </c>
      <c r="C86" s="13" t="s">
        <v>17</v>
      </c>
      <c r="D86" s="9" t="s">
        <v>102</v>
      </c>
      <c r="E86" s="10" t="s">
        <v>188</v>
      </c>
      <c r="F86" s="9" t="s">
        <v>230</v>
      </c>
      <c r="G86" s="10" t="s">
        <v>303</v>
      </c>
      <c r="H86" s="9" t="s">
        <v>322</v>
      </c>
      <c r="I86" s="10" t="s">
        <v>376</v>
      </c>
      <c r="J86" s="9">
        <v>2</v>
      </c>
      <c r="K86" s="9"/>
    </row>
    <row r="87" spans="1:12" ht="15.75" thickBot="1" x14ac:dyDescent="0.3">
      <c r="A87" s="1"/>
      <c r="B87" s="11">
        <f>ROW(B87) - ROW($B$2)</f>
        <v>85</v>
      </c>
      <c r="C87" s="12" t="s">
        <v>17</v>
      </c>
      <c r="D87" s="7" t="s">
        <v>103</v>
      </c>
      <c r="E87" s="8" t="s">
        <v>189</v>
      </c>
      <c r="F87" s="7" t="s">
        <v>231</v>
      </c>
      <c r="G87" s="8" t="s">
        <v>304</v>
      </c>
      <c r="H87" s="7" t="s">
        <v>322</v>
      </c>
      <c r="I87" s="10" t="s">
        <v>376</v>
      </c>
      <c r="J87" s="7">
        <v>1</v>
      </c>
      <c r="K87" s="7"/>
    </row>
    <row r="88" spans="1:12" ht="15.75" thickBot="1" x14ac:dyDescent="0.3">
      <c r="A88" s="1"/>
      <c r="B88" s="11">
        <f t="shared" si="0"/>
        <v>86</v>
      </c>
      <c r="C88" s="13" t="s">
        <v>17</v>
      </c>
      <c r="D88" s="9" t="s">
        <v>104</v>
      </c>
      <c r="E88" s="10" t="s">
        <v>190</v>
      </c>
      <c r="F88" s="9" t="s">
        <v>232</v>
      </c>
      <c r="G88" s="10" t="s">
        <v>305</v>
      </c>
      <c r="H88" s="9" t="s">
        <v>322</v>
      </c>
      <c r="I88" s="10" t="s">
        <v>376</v>
      </c>
      <c r="J88" s="9">
        <v>8</v>
      </c>
      <c r="K88" s="9"/>
    </row>
    <row r="89" spans="1:12" s="15" customFormat="1" ht="24.75" thickBot="1" x14ac:dyDescent="0.3">
      <c r="B89" s="16">
        <f t="shared" ref="B89:B91" si="1">ROW(B89) - ROW($B$2)</f>
        <v>87</v>
      </c>
      <c r="C89" s="17" t="s">
        <v>375</v>
      </c>
      <c r="D89" s="18" t="s">
        <v>376</v>
      </c>
      <c r="E89" s="18" t="s">
        <v>377</v>
      </c>
      <c r="F89" s="18" t="s">
        <v>376</v>
      </c>
      <c r="G89" s="19" t="s">
        <v>378</v>
      </c>
      <c r="H89" s="18" t="s">
        <v>379</v>
      </c>
      <c r="I89" s="19" t="s">
        <v>376</v>
      </c>
      <c r="J89" s="18">
        <v>1</v>
      </c>
      <c r="K89" s="18"/>
      <c r="L89"/>
    </row>
    <row r="90" spans="1:12" s="15" customFormat="1" ht="24.75" thickBot="1" x14ac:dyDescent="0.3">
      <c r="B90" s="16">
        <f t="shared" si="1"/>
        <v>88</v>
      </c>
      <c r="C90" s="20" t="s">
        <v>375</v>
      </c>
      <c r="D90" s="21" t="s">
        <v>376</v>
      </c>
      <c r="E90" s="21" t="s">
        <v>384</v>
      </c>
      <c r="F90" s="21" t="s">
        <v>376</v>
      </c>
      <c r="G90" s="22" t="s">
        <v>390</v>
      </c>
      <c r="H90" s="21" t="s">
        <v>380</v>
      </c>
      <c r="I90" s="22" t="s">
        <v>376</v>
      </c>
      <c r="J90" s="21">
        <v>1</v>
      </c>
      <c r="K90" s="18"/>
      <c r="L90"/>
    </row>
    <row r="91" spans="1:12" s="15" customFormat="1" ht="15.75" thickBot="1" x14ac:dyDescent="0.3">
      <c r="B91" s="16">
        <f t="shared" si="1"/>
        <v>89</v>
      </c>
      <c r="C91" s="23" t="s">
        <v>375</v>
      </c>
      <c r="D91" s="24" t="s">
        <v>376</v>
      </c>
      <c r="E91" s="24" t="s">
        <v>381</v>
      </c>
      <c r="F91" s="24" t="s">
        <v>376</v>
      </c>
      <c r="G91" s="25" t="s">
        <v>382</v>
      </c>
      <c r="H91" s="24" t="s">
        <v>383</v>
      </c>
      <c r="I91" s="25" t="s">
        <v>376</v>
      </c>
      <c r="J91" s="24">
        <v>1</v>
      </c>
      <c r="K91" s="26"/>
      <c r="L91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2024-05-03T12:07:16Z</dcterms:modified>
</cp:coreProperties>
</file>