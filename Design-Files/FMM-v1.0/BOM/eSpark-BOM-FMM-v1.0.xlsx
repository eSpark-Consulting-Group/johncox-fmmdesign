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johncox-fmmdesign\Design-Files\FMM-v1.0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N92" i="1" l="1"/>
  <c r="B61" i="1"/>
  <c r="K61" i="1"/>
  <c r="N61" i="1" s="1"/>
  <c r="K34" i="1"/>
  <c r="B34" i="1"/>
  <c r="N89" i="1" l="1"/>
  <c r="B89" i="1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N19" i="1" s="1"/>
  <c r="K20" i="1"/>
  <c r="N20" i="1" s="1"/>
  <c r="K21" i="1"/>
  <c r="N21" i="1" s="1"/>
  <c r="K22" i="1"/>
  <c r="K23" i="1"/>
  <c r="K24" i="1"/>
  <c r="K25" i="1"/>
  <c r="K26" i="1"/>
  <c r="K27" i="1"/>
  <c r="K28" i="1"/>
  <c r="K29" i="1"/>
  <c r="K30" i="1"/>
  <c r="K31" i="1"/>
  <c r="K32" i="1"/>
  <c r="K33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6" i="1"/>
  <c r="K60" i="1"/>
  <c r="K62" i="1"/>
  <c r="K63" i="1"/>
  <c r="K64" i="1"/>
  <c r="K65" i="1"/>
  <c r="K67" i="1"/>
  <c r="K68" i="1"/>
  <c r="K70" i="1"/>
  <c r="K69" i="1"/>
  <c r="K71" i="1"/>
  <c r="N71" i="1" s="1"/>
  <c r="K72" i="1"/>
  <c r="N72" i="1" s="1"/>
  <c r="K73" i="1"/>
  <c r="N73" i="1" s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N88" i="1" s="1"/>
  <c r="K90" i="1"/>
  <c r="K91" i="1"/>
  <c r="B88" i="1"/>
  <c r="B73" i="1"/>
  <c r="B72" i="1"/>
  <c r="B71" i="1"/>
  <c r="B21" i="1"/>
  <c r="B20" i="1"/>
  <c r="B19" i="1"/>
  <c r="N90" i="1" l="1"/>
  <c r="N91" i="1"/>
  <c r="B90" i="1"/>
  <c r="B91" i="1"/>
  <c r="B65" i="1"/>
  <c r="B67" i="1"/>
  <c r="N67" i="1" l="1"/>
  <c r="N65" i="1"/>
  <c r="N31" i="1" l="1"/>
  <c r="N69" i="1"/>
  <c r="B69" i="1"/>
  <c r="B31" i="1"/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22" i="1"/>
  <c r="N23" i="1"/>
  <c r="N24" i="1"/>
  <c r="N25" i="1"/>
  <c r="N26" i="1"/>
  <c r="N28" i="1"/>
  <c r="N29" i="1"/>
  <c r="N30" i="1"/>
  <c r="N32" i="1"/>
  <c r="N33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2" i="1"/>
  <c r="N63" i="1"/>
  <c r="N64" i="1"/>
  <c r="N68" i="1"/>
  <c r="N66" i="1"/>
  <c r="N70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K3" i="1"/>
  <c r="N3" i="1" s="1"/>
  <c r="N93" i="1" l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0" i="1"/>
  <c r="B66" i="1"/>
  <c r="B68" i="1"/>
  <c r="B64" i="1"/>
  <c r="B63" i="1"/>
  <c r="B62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3" i="1"/>
  <c r="B32" i="1"/>
  <c r="B30" i="1"/>
  <c r="B29" i="1"/>
  <c r="B28" i="1"/>
  <c r="B27" i="1"/>
  <c r="B26" i="1"/>
  <c r="B25" i="1"/>
  <c r="B24" i="1"/>
  <c r="B23" i="1"/>
  <c r="B22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<sst xmlns="http://schemas.openxmlformats.org/spreadsheetml/2006/main" count="721" uniqueCount="402">
  <si>
    <t>#</t>
  </si>
  <si>
    <t>Item Type</t>
  </si>
  <si>
    <t>Capacitor</t>
  </si>
  <si>
    <t>Diode</t>
  </si>
  <si>
    <t>Protection Device</t>
  </si>
  <si>
    <t>Surge Protection (TVS/ESD)</t>
  </si>
  <si>
    <t>TVS Diode</t>
  </si>
  <si>
    <t>Fuse Holder</t>
  </si>
  <si>
    <t>Connector</t>
  </si>
  <si>
    <t>Inductor</t>
  </si>
  <si>
    <t>Common Mode Filter</t>
  </si>
  <si>
    <t>LED</t>
  </si>
  <si>
    <t>MOSFET</t>
  </si>
  <si>
    <t>Mosfet</t>
  </si>
  <si>
    <t>Resistor</t>
  </si>
  <si>
    <t>Switch</t>
  </si>
  <si>
    <t>TRANSFORMER</t>
  </si>
  <si>
    <t>IC</t>
  </si>
  <si>
    <t>Designator</t>
  </si>
  <si>
    <t>C3, C4</t>
  </si>
  <si>
    <t>C6, C7</t>
  </si>
  <si>
    <t>C10</t>
  </si>
  <si>
    <t>C11</t>
  </si>
  <si>
    <t>C12</t>
  </si>
  <si>
    <t>C13</t>
  </si>
  <si>
    <t>C16, C17, C33</t>
  </si>
  <si>
    <t>C20, C21</t>
  </si>
  <si>
    <t>C23</t>
  </si>
  <si>
    <t>C35</t>
  </si>
  <si>
    <t>D1</t>
  </si>
  <si>
    <t>D2</t>
  </si>
  <si>
    <t>D3</t>
  </si>
  <si>
    <t>D4</t>
  </si>
  <si>
    <t>D5, D6</t>
  </si>
  <si>
    <t>D7</t>
  </si>
  <si>
    <t>J2</t>
  </si>
  <si>
    <t>J3</t>
  </si>
  <si>
    <t>L1</t>
  </si>
  <si>
    <t>L2</t>
  </si>
  <si>
    <t>L3</t>
  </si>
  <si>
    <t>LED1, LED2, LED3, LED7</t>
  </si>
  <si>
    <t>LED4, LED5</t>
  </si>
  <si>
    <t>LED6</t>
  </si>
  <si>
    <t>Q1</t>
  </si>
  <si>
    <t>Q2</t>
  </si>
  <si>
    <t>Q3, Q4</t>
  </si>
  <si>
    <t>R1</t>
  </si>
  <si>
    <t>R3</t>
  </si>
  <si>
    <t>R4</t>
  </si>
  <si>
    <t>R5</t>
  </si>
  <si>
    <t>R6</t>
  </si>
  <si>
    <t>R7</t>
  </si>
  <si>
    <t>R8</t>
  </si>
  <si>
    <t>R9</t>
  </si>
  <si>
    <t>R10</t>
  </si>
  <si>
    <t>R12</t>
  </si>
  <si>
    <t>R13</t>
  </si>
  <si>
    <t>R15</t>
  </si>
  <si>
    <t>SW1, SW2</t>
  </si>
  <si>
    <t>T1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</si>
  <si>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</si>
  <si>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</si>
  <si>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</si>
  <si>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</si>
  <si>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</si>
  <si>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</si>
  <si>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</si>
  <si>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</si>
  <si>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</si>
  <si>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U15</t>
  </si>
  <si>
    <t>Description</t>
  </si>
  <si>
    <t>CAP CER 1UF 25V X5R 0402</t>
  </si>
  <si>
    <t>CAP CER 0.1UF 50V X7R 0402</t>
  </si>
  <si>
    <t>CAP ALUM POLY 10UF 20% 50V SMD</t>
  </si>
  <si>
    <t>CAP ALUM POLY 100UF 20% 25V SMD</t>
  </si>
  <si>
    <t>CAP CER 0.022UF 50V X7R 0603</t>
  </si>
  <si>
    <t>CAP CER 470PF 50V X7R 0603</t>
  </si>
  <si>
    <t>CAP CER 0.047UF 25V X7R 0402</t>
  </si>
  <si>
    <t>CAP CER 1000PF 50V C0G/NP0 0402</t>
  </si>
  <si>
    <t>CAP CER 4.7UF 25V X5R 0603</t>
  </si>
  <si>
    <t>CAP CER 47UF 25V X5R 1206</t>
  </si>
  <si>
    <t>CAP CER 1UF 16V X5R 0402</t>
  </si>
  <si>
    <t>CAP CER 10UF 10V X5R 0402</t>
  </si>
  <si>
    <t>CAP CER 22UF 10V X5R 0402</t>
  </si>
  <si>
    <t>CAP CER 68PF 100V C0G 0603</t>
  </si>
  <si>
    <t>CAP CER 4700PF 50V C0G/NPO 0603</t>
  </si>
  <si>
    <t>DIODE SCHOTTKY 100V 20A D2PAK</t>
  </si>
  <si>
    <t>DIODE SCHOTTKY 60V 7A POWERDI5</t>
  </si>
  <si>
    <t>DIODE ZENER 3.3V 200MW SOD323F</t>
  </si>
  <si>
    <t>TVS DIODE 33VWM 53.3VC SMA</t>
  </si>
  <si>
    <t>DIODE SCHOTTKY 20V 500MA SOD123</t>
  </si>
  <si>
    <t>DIODE SCHOTTKY 30V 1A SOD123W</t>
  </si>
  <si>
    <t>SOD-523 ESD Protection Devices ROHS</t>
  </si>
  <si>
    <t>TVS DIODE 7V/12V 14V/26V SOT23-3</t>
  </si>
  <si>
    <t>TVS DIODE 3.3VWM 11.5VC MICROSMP</t>
  </si>
  <si>
    <t>FUSE HOLDER BLADE 80V PCB</t>
  </si>
  <si>
    <t>1x6P SH 1 1mm 6 SMD,P=1mm Wire To Board / Wire To Wire Connector ROHS</t>
  </si>
  <si>
    <t>FIXED IND 8.2UH 10.5A 15.5 MOHM</t>
  </si>
  <si>
    <t>FIXED IND 2.2UH 4.3A 18.98 MOHM</t>
  </si>
  <si>
    <t>CMC 51UH 200MA 2LN 2.8KOHM SMD</t>
  </si>
  <si>
    <t>RED LED 0603 Light Emitting Diodes</t>
  </si>
  <si>
    <t>yellow 0603 Light Emitting Diodes (LED) ROHS</t>
  </si>
  <si>
    <t>Emerald 0603 Light Emitting Diodes (LED) ROHS</t>
  </si>
  <si>
    <t>blue 0603 Light Emitting Diodes (LED) ROHS</t>
  </si>
  <si>
    <t>MOSFET N-CH 40V 15A/50A 8VSON</t>
  </si>
  <si>
    <t>MOSFET N-CH 30V 20A/60A 8VSON</t>
  </si>
  <si>
    <t>25V 300mW 120@100mA,1V 1.5A NPN SOT-23 Bipolar Transistors - BJT ROHS</t>
  </si>
  <si>
    <t>RES SMD 34.8KOHM 0.1% 1/16W 0402</t>
  </si>
  <si>
    <t>RES SMD 1M OHM 1% 1/10W 0603</t>
  </si>
  <si>
    <t>RES SMD 12.1KOHM 0.1% 1/16W 0402</t>
  </si>
  <si>
    <t>RES SMD 47K OHM 0.1% 1/10W 0603</t>
  </si>
  <si>
    <t>RES 0.01 OHM 1% 3W 2512</t>
  </si>
  <si>
    <t>RES SMD 1.6K OHM 0.1% 1/16W 0402</t>
  </si>
  <si>
    <t>RES SMD 8.66KOHM 0.1% 1/16W 0402</t>
  </si>
  <si>
    <t>RES SMD 21K OHM 0.1% 1/16W 0402</t>
  </si>
  <si>
    <t>RES SMD 10K OHM 0.1% 1/16W 0402</t>
  </si>
  <si>
    <t>RES 1.5K OHM 1% 1/16W 0402</t>
  </si>
  <si>
    <t>RES 1K OHM 1% 1/16W 0402</t>
  </si>
  <si>
    <t>RES 100K OHM 1% 1/16W 0402</t>
  </si>
  <si>
    <t>RES 499 OHM 1% 1/16W 0402</t>
  </si>
  <si>
    <t>RES 240 OHM 1% 1/16W 0402</t>
  </si>
  <si>
    <t>RES 2K OHM 1% 1/16W 0402</t>
  </si>
  <si>
    <t>RES 22.1K OHM 1% 1/10W 0603</t>
  </si>
  <si>
    <t>RES 10K OHM 1% 1/16W 0402</t>
  </si>
  <si>
    <t>RES SMD 220 OHM 1% 1/10W 0603</t>
  </si>
  <si>
    <t>RES 47.5K OHM 1% 1/10W 0603</t>
  </si>
  <si>
    <t>RES 49.9 OHM 1% 1/10W 0603</t>
  </si>
  <si>
    <t>RES SMD 59 OHM 0.1% 1/4W 1206</t>
  </si>
  <si>
    <t>RES 4.7K OHM 1% 1/16W 0402</t>
  </si>
  <si>
    <t>RES 120 OHM 1% 1/10W 0603</t>
  </si>
  <si>
    <t>SWITCH TACTILE SPST-NO 0.05A 12V</t>
  </si>
  <si>
    <t>TRANSFORMER 475UH SMD</t>
  </si>
  <si>
    <t>IC REG CTRLR BUCK 20TSSOP</t>
  </si>
  <si>
    <t>IC REG BUCK 5V 2A 12VQFN</t>
  </si>
  <si>
    <t>IC REG LIN 3.3V 1A 8SON</t>
  </si>
  <si>
    <t>IC XFRMR DRVR NCH 350MA SOT23-5</t>
  </si>
  <si>
    <t>IC REG LINEAR 5V 150MA SOT23-5</t>
  </si>
  <si>
    <t>Full Speed USB to UART Bridge USB 2.0 3.3V T/R Automotive 28-Pin QFN EP</t>
  </si>
  <si>
    <t>RF TXRX MOD BLUETOOTH U.FL SMD</t>
  </si>
  <si>
    <t>2.7V~3.6V 50MHz 1Gbit LGA-8(6x8) NAND FLASH ROHS</t>
  </si>
  <si>
    <t>1/1 Transceiver Half CAN 16-SOIC</t>
  </si>
  <si>
    <t>IC REG LIN POS ADJ 500MA SOT223</t>
  </si>
  <si>
    <t>IC ADC 16BIT SIGMA-DELTA 10VSSOP</t>
  </si>
  <si>
    <t>IC INVERT SCHMITT 6CH 1IN 14SOIC</t>
  </si>
  <si>
    <t>Footprint</t>
  </si>
  <si>
    <t>Cap-0402</t>
  </si>
  <si>
    <t>50SVPF10M</t>
  </si>
  <si>
    <t>25SVPF100M</t>
  </si>
  <si>
    <t>Cap-0603</t>
  </si>
  <si>
    <t>Cap-1206</t>
  </si>
  <si>
    <t>D2Pak.</t>
  </si>
  <si>
    <t>Power-DI-5</t>
  </si>
  <si>
    <t>SOD323F</t>
  </si>
  <si>
    <t>SMA</t>
  </si>
  <si>
    <t>SOD-123</t>
  </si>
  <si>
    <t>SOD-123W</t>
  </si>
  <si>
    <t>SOD-523</t>
  </si>
  <si>
    <t>SOT-23</t>
  </si>
  <si>
    <t>MicroSMP</t>
  </si>
  <si>
    <t>178.6165.0002</t>
  </si>
  <si>
    <t>SRP1265A-8R2M</t>
  </si>
  <si>
    <t>CLF7045T-2R2N-D</t>
  </si>
  <si>
    <t>ACT45B-510-2P-TL003</t>
  </si>
  <si>
    <t>LED-0603</t>
  </si>
  <si>
    <t>8-VSONP (5x6)</t>
  </si>
  <si>
    <t>8-VSON-CLIP (3.3x3.3)</t>
  </si>
  <si>
    <t>Res-0402</t>
  </si>
  <si>
    <t>Res-0603</t>
  </si>
  <si>
    <t>RES-2512</t>
  </si>
  <si>
    <t>Res-1206</t>
  </si>
  <si>
    <t>B3U-1000P</t>
  </si>
  <si>
    <t>20-HTSSOP</t>
  </si>
  <si>
    <t>12-VQFN-HR (3x2)</t>
  </si>
  <si>
    <t>8-SON (3x3)</t>
  </si>
  <si>
    <t>SOT-23-5</t>
  </si>
  <si>
    <t>28-QFN (5x5)_</t>
  </si>
  <si>
    <t>ESP32-WROOM-32UE-N16</t>
  </si>
  <si>
    <t>XTSD01GLGEAG</t>
  </si>
  <si>
    <t>SOIC-16-300mil</t>
  </si>
  <si>
    <t>SOT- 223</t>
  </si>
  <si>
    <t>VSSOP-10</t>
  </si>
  <si>
    <t>SOIC-14</t>
  </si>
  <si>
    <t>Manufacturer Part Number</t>
  </si>
  <si>
    <t>CL05A105KA5NQNC</t>
  </si>
  <si>
    <t>CL05B104KB54PNC</t>
  </si>
  <si>
    <t>CC0603KRX7R9BB474</t>
  </si>
  <si>
    <t>CC0603KRX7R9BB223</t>
  </si>
  <si>
    <t>CC0603KPX7R9BB471</t>
  </si>
  <si>
    <t>GRM155R71E473KA88D</t>
  </si>
  <si>
    <t>GRM1555C1H102JA01D</t>
  </si>
  <si>
    <t>CL10A475KA8NQNC</t>
  </si>
  <si>
    <t>GRM31CR61E476ME44L</t>
  </si>
  <si>
    <t>CC0402KRX5R7BB105</t>
  </si>
  <si>
    <t>CC0402MRX5R6BB106</t>
  </si>
  <si>
    <t>CGA3E2C0G2A680JT0Y0N</t>
  </si>
  <si>
    <t>CC0603JRNPO9BN472</t>
  </si>
  <si>
    <t>STPS20M100SG-TR</t>
  </si>
  <si>
    <t>PDS760-13</t>
  </si>
  <si>
    <t>MM3Z3V3B</t>
  </si>
  <si>
    <t>SMAJ33AQ-13-F</t>
  </si>
  <si>
    <t>MBR0520LT1G</t>
  </si>
  <si>
    <t>PMEG3010ER,115</t>
  </si>
  <si>
    <t>LESD5D5.0CT1G</t>
  </si>
  <si>
    <t>CDSOT23-SM712</t>
  </si>
  <si>
    <t>C145963</t>
  </si>
  <si>
    <t>NCD0603R3</t>
  </si>
  <si>
    <t>NCD0603Y2</t>
  </si>
  <si>
    <t>NCD0603G2</t>
  </si>
  <si>
    <t>NCD0603B3</t>
  </si>
  <si>
    <t>CSD18504Q5A</t>
  </si>
  <si>
    <t>CSD17309Q3</t>
  </si>
  <si>
    <t>SS8050-G</t>
  </si>
  <si>
    <t>RT0402BRD0734K8L</t>
  </si>
  <si>
    <t>RC0603FR-071ML</t>
  </si>
  <si>
    <t>RT0402BRD0712K1L</t>
  </si>
  <si>
    <t>RT0603BRD0747KL</t>
  </si>
  <si>
    <t>CRA2512-FZ-R010ELF</t>
  </si>
  <si>
    <t>RT0402BRD071K6L</t>
  </si>
  <si>
    <t>RT0402BRD078K66L</t>
  </si>
  <si>
    <t>RT0402BRD0721KL</t>
  </si>
  <si>
    <t>RT0402BRD0710KL</t>
  </si>
  <si>
    <t>RC0402FR-071K5L</t>
  </si>
  <si>
    <t>RC0402FR-071KL</t>
  </si>
  <si>
    <t>RC0402FR-07100KL</t>
  </si>
  <si>
    <t>RC0402FR-07499RL</t>
  </si>
  <si>
    <t>RC0402FR-07240RL</t>
  </si>
  <si>
    <t>RC0603FR-0722K1L</t>
  </si>
  <si>
    <t>RC0402FR-0710KL</t>
  </si>
  <si>
    <t>RC0603FR-07220RL</t>
  </si>
  <si>
    <t>RC0603FR-0747K5L</t>
  </si>
  <si>
    <t>RC0603FR-0749R9L</t>
  </si>
  <si>
    <t>RT1206BRD0759RL</t>
  </si>
  <si>
    <t>RC0402FR-074K7L</t>
  </si>
  <si>
    <t>RC0603FR-07120RL</t>
  </si>
  <si>
    <t>LM25118Q1MHX/NOPB</t>
  </si>
  <si>
    <t>LMR33620CQ5RNXRQ1</t>
  </si>
  <si>
    <t>TLV76733QWDRBRQ1</t>
  </si>
  <si>
    <t>SN6501QDBVRQ1</t>
  </si>
  <si>
    <t>TPS76350QDBVRQ1</t>
  </si>
  <si>
    <t>CP2102N-A02-GQFN28R</t>
  </si>
  <si>
    <t>ISO1050DWR</t>
  </si>
  <si>
    <t>LM317MDCYR</t>
  </si>
  <si>
    <t>ADS1115IDGSR</t>
  </si>
  <si>
    <t>SN74HC14QDRQ1</t>
  </si>
  <si>
    <t>Manufacturer</t>
  </si>
  <si>
    <t>Samsung</t>
  </si>
  <si>
    <t>Panasonic</t>
  </si>
  <si>
    <t>Yageo</t>
  </si>
  <si>
    <t>Murata</t>
  </si>
  <si>
    <t>STMicroelectronics</t>
  </si>
  <si>
    <t>Diodes</t>
  </si>
  <si>
    <t>ON Semiconductor / Fairchild</t>
  </si>
  <si>
    <t>ON Semiconductor</t>
  </si>
  <si>
    <t>Nexperia</t>
  </si>
  <si>
    <t>UMW</t>
  </si>
  <si>
    <t>Bourns</t>
  </si>
  <si>
    <t>Littelfuse Wickmann</t>
  </si>
  <si>
    <t>BOOMELE</t>
  </si>
  <si>
    <t>TDK</t>
  </si>
  <si>
    <t>Foshan NationStar Optoelectronics</t>
  </si>
  <si>
    <t>Texas Instruments</t>
  </si>
  <si>
    <t>Jiangsu Changjing Electronics Technology</t>
  </si>
  <si>
    <t>Omron</t>
  </si>
  <si>
    <t>Wurth Electronics</t>
  </si>
  <si>
    <t>TI National Semiconductor</t>
  </si>
  <si>
    <t>Silicon Labs</t>
  </si>
  <si>
    <t>Espressif Systems</t>
  </si>
  <si>
    <t>XTX</t>
  </si>
  <si>
    <t>1uF</t>
  </si>
  <si>
    <t>0.1uF</t>
  </si>
  <si>
    <t>10uF</t>
  </si>
  <si>
    <t>100uF</t>
  </si>
  <si>
    <t>470nF</t>
  </si>
  <si>
    <t>22nF</t>
  </si>
  <si>
    <t>470pF</t>
  </si>
  <si>
    <t>47nF</t>
  </si>
  <si>
    <t>1nF</t>
  </si>
  <si>
    <t>4.7UF</t>
  </si>
  <si>
    <t>47uF</t>
  </si>
  <si>
    <t>22uF</t>
  </si>
  <si>
    <t>68pF</t>
  </si>
  <si>
    <t>4.7nF</t>
  </si>
  <si>
    <t>MSP3V3HM3/89A</t>
  </si>
  <si>
    <t>8.2uH</t>
  </si>
  <si>
    <t>2.2uH</t>
  </si>
  <si>
    <t>34.8k</t>
  </si>
  <si>
    <t>1M</t>
  </si>
  <si>
    <t>12.1k</t>
  </si>
  <si>
    <t>47K</t>
  </si>
  <si>
    <t>10mΩ</t>
  </si>
  <si>
    <t>1.6K</t>
  </si>
  <si>
    <t>8.66k</t>
  </si>
  <si>
    <t>21k</t>
  </si>
  <si>
    <t>10K</t>
  </si>
  <si>
    <t>1.5K</t>
  </si>
  <si>
    <t>1K</t>
  </si>
  <si>
    <t>100K</t>
  </si>
  <si>
    <t>499R</t>
  </si>
  <si>
    <t>240R</t>
  </si>
  <si>
    <t>2K</t>
  </si>
  <si>
    <t>22.1K</t>
  </si>
  <si>
    <t>220R</t>
  </si>
  <si>
    <t>47.5K</t>
  </si>
  <si>
    <t>49.9R</t>
  </si>
  <si>
    <t>59R</t>
  </si>
  <si>
    <t>4.7K</t>
  </si>
  <si>
    <t>120R</t>
  </si>
  <si>
    <t>Quantity</t>
  </si>
  <si>
    <t>Value</t>
  </si>
  <si>
    <t>Remarks</t>
  </si>
  <si>
    <t>Link</t>
  </si>
  <si>
    <t>-</t>
  </si>
  <si>
    <t>Digikey</t>
  </si>
  <si>
    <t>Unit Price</t>
  </si>
  <si>
    <t>5 Boards Price</t>
  </si>
  <si>
    <t>5 Boards Quantity</t>
  </si>
  <si>
    <t>Custom</t>
  </si>
  <si>
    <t>CAP CER 0.47UF 50V X7R 0603</t>
  </si>
  <si>
    <t>GRM158R61A226ME15D</t>
  </si>
  <si>
    <t>Vishay</t>
  </si>
  <si>
    <t>RC0402FR-072KL</t>
  </si>
  <si>
    <t>YAGEO</t>
  </si>
  <si>
    <t>Single Board Cost</t>
  </si>
  <si>
    <t>LCSC</t>
  </si>
  <si>
    <t xml:space="preserve">5 Boards Component Cost </t>
  </si>
  <si>
    <t>Peripheral</t>
  </si>
  <si>
    <t>FB1, FB2, FB3, FB4, FB5</t>
  </si>
  <si>
    <t>MMZ2012R102ATD25</t>
  </si>
  <si>
    <t>RC0402FR-070RL</t>
  </si>
  <si>
    <t>Ferrite Bead</t>
  </si>
  <si>
    <t>FERRITE BEAD 1K OHM 0805 1LN</t>
  </si>
  <si>
    <t>Ind-0805</t>
  </si>
  <si>
    <t>RES 0 OHM JUMPER 1/16W 0402</t>
  </si>
  <si>
    <t>0R</t>
  </si>
  <si>
    <t>RT0603BRD07240RL</t>
  </si>
  <si>
    <t>RC0603FR-0722RL</t>
  </si>
  <si>
    <t>J1</t>
  </si>
  <si>
    <t>R14</t>
  </si>
  <si>
    <t>R28</t>
  </si>
  <si>
    <t>RES SMD 240 OHM 0.1% 1/10W 0603</t>
  </si>
  <si>
    <t>RES 22 OHM 1% 1/10W 0603</t>
  </si>
  <si>
    <t>22R</t>
  </si>
  <si>
    <t>Shenzhen Kinghelm Elec</t>
  </si>
  <si>
    <t>HJ Tech</t>
  </si>
  <si>
    <t>CC0402JRX7R7BB223</t>
  </si>
  <si>
    <t>CC0402JRX7R7BB104</t>
  </si>
  <si>
    <t>CC0402JRX7R7BB153</t>
  </si>
  <si>
    <t>RT0402BRE0727KL</t>
  </si>
  <si>
    <t>RT0402BRD078K2L</t>
  </si>
  <si>
    <t>RT0402BRD0722K1L</t>
  </si>
  <si>
    <t>OPA350UA/2K5</t>
  </si>
  <si>
    <t>CAP CER 0.022UF 16V X7R 0402</t>
  </si>
  <si>
    <t>CAP CER 0.1UF 16V X7R 0402</t>
  </si>
  <si>
    <t>CAP CER 0.015UF 16V X7R 0402</t>
  </si>
  <si>
    <t>15nF</t>
  </si>
  <si>
    <t>RES SMD 27K OHM 0.1% 1/16W 0402</t>
  </si>
  <si>
    <t>27K</t>
  </si>
  <si>
    <t>RES SMD 8.2K OHM 0.1% 1/16W 0402</t>
  </si>
  <si>
    <t>8.2K</t>
  </si>
  <si>
    <t>RES SMD 22.1KOHM 0.1% 1/16W 0402</t>
  </si>
  <si>
    <t>IC OPAMP GP 1 CIRCUIT 8SOIC</t>
  </si>
  <si>
    <t>SOIC-8(0.154", 3.90mm Width)</t>
  </si>
  <si>
    <t>HJ-2.4GHz 3dBi-SMA</t>
  </si>
  <si>
    <t>3dBi - Antennas ROHS</t>
  </si>
  <si>
    <t>Voltlink</t>
  </si>
  <si>
    <t>Tinde</t>
  </si>
  <si>
    <t>VoltLink CP2102N USB Serial Adapter &amp; Programmer</t>
  </si>
  <si>
    <t>C1, C24, C32, C44, C47, C53, C54, C67, C68</t>
  </si>
  <si>
    <t>C2, C5, C14, C15, C18, C19, C22, C27, C29, C31, C34, C36, C37, C38, C45, C48, C49, C50, C51, C52, C55, C56, C57, C58, C63, C65, C66, C73, C75, C81, C82</t>
  </si>
  <si>
    <t>C8, C9</t>
  </si>
  <si>
    <t>C25, C26, C28, C30, C39, C43, C46</t>
  </si>
  <si>
    <t>C40, C42</t>
  </si>
  <si>
    <t>C41</t>
  </si>
  <si>
    <t>C59, C60, C61, C69, C70, C71, C76, C77, C78, C83, C84, C85</t>
  </si>
  <si>
    <t>C62, C72, C79, C86</t>
  </si>
  <si>
    <t>C64, C74, C80, C87</t>
  </si>
  <si>
    <t>D8, D9, D10</t>
  </si>
  <si>
    <t>D11</t>
  </si>
  <si>
    <t>D12, D13, D14, D15</t>
  </si>
  <si>
    <t>DJ7391-1.5/2.8-10</t>
  </si>
  <si>
    <t>LED8</t>
  </si>
  <si>
    <t>R2</t>
  </si>
  <si>
    <t>R11, R38, R39, R40, R41</t>
  </si>
  <si>
    <t>R16</t>
  </si>
  <si>
    <t>R17, R21, R22, R27, R36, R48</t>
  </si>
  <si>
    <t>R18, R20</t>
  </si>
  <si>
    <t>R19</t>
  </si>
  <si>
    <t>R23</t>
  </si>
  <si>
    <t>R24</t>
  </si>
  <si>
    <t>R25, R26</t>
  </si>
  <si>
    <t>R29, R32</t>
  </si>
  <si>
    <t>R30, R31</t>
  </si>
  <si>
    <t>R33, R34, R35, R37</t>
  </si>
  <si>
    <t>R43, R50, R56, R62</t>
  </si>
  <si>
    <t>R44, R45, R51, R52, R57, R58, R63, R64</t>
  </si>
  <si>
    <t>R46, R47, R53, R54, R59, R60, R65, R66</t>
  </si>
  <si>
    <t>U10, U11, U12, U14</t>
  </si>
  <si>
    <t>U13, U18</t>
  </si>
  <si>
    <t>U16, U17, U19, U20, U21, U22, U23, U24</t>
  </si>
  <si>
    <t>6.5cm IPEX to SMA 1Gen - Radio Frequency Cable ROHS</t>
  </si>
  <si>
    <t>KHB65-37(11)-28-A/3</t>
  </si>
  <si>
    <t>Custom Supplier Quote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</si>
</sst>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164" fontId="4" fillId="2" borderId="8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64" fontId="7" fillId="3" borderId="7" xfId="0" quotePrefix="1" applyNumberFormat="1" applyFont="1" applyFill="1" applyBorder="1" applyAlignment="1">
      <alignment horizontal="center" vertical="center" wrapText="1"/>
    </xf>
    <xf numFmtId="164" fontId="7" fillId="3" borderId="13" xfId="0" quotePrefix="1" applyNumberFormat="1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/>
    </xf>
    <xf numFmtId="0" fontId="6" fillId="2" borderId="17" xfId="1" applyFill="1" applyBorder="1" applyAlignment="1">
      <alignment horizontal="center" vertical="center" wrapText="1"/>
    </xf>
    <xf numFmtId="0" fontId="6" fillId="2" borderId="18" xfId="1" applyFill="1" applyBorder="1" applyAlignment="1">
      <alignment horizontal="center" vertical="center" wrapText="1"/>
    </xf>
    <xf numFmtId="0" fontId="6" fillId="2" borderId="19" xfId="1" applyFill="1" applyBorder="1" applyAlignment="1">
      <alignment horizontal="center" vertical="center" wrapText="1"/>
    </xf>
    <xf numFmtId="0" fontId="6" fillId="2" borderId="20" xfId="1" applyFill="1" applyBorder="1" applyAlignment="1">
      <alignment horizontal="center" vertical="center" wrapText="1"/>
    </xf>
    <xf numFmtId="0" fontId="6" fillId="2" borderId="21" xfId="1" applyFill="1" applyBorder="1" applyAlignment="1">
      <alignment horizontal="center" vertical="center" wrapText="1"/>
    </xf>
    <xf numFmtId="164" fontId="4" fillId="2" borderId="9" xfId="0" applyNumberFormat="1" applyFont="1" applyFill="1" applyBorder="1" applyAlignment="1">
      <alignment horizontal="center" vertical="center" wrapText="1"/>
    </xf>
    <xf numFmtId="164" fontId="4" fillId="2" borderId="15" xfId="0" applyNumberFormat="1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2" borderId="16" xfId="0" applyNumberFormat="1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8" fillId="3" borderId="6" xfId="0" applyFont="1" applyFill="1" applyBorder="1" applyAlignment="1" applyProtection="1">
      <alignment horizontal="center" vertical="top"/>
      <protection locked="0"/>
    </xf>
    <xf numFmtId="0" fontId="8" fillId="3" borderId="2" xfId="0" applyFont="1" applyFill="1" applyBorder="1" applyAlignment="1" applyProtection="1">
      <alignment horizontal="center" vertical="top"/>
      <protection locked="0"/>
    </xf>
    <xf numFmtId="0" fontId="8" fillId="3" borderId="10" xfId="0" applyFont="1" applyFill="1" applyBorder="1" applyAlignment="1" applyProtection="1">
      <alignment horizontal="center" vertical="top"/>
      <protection locked="0"/>
    </xf>
    <xf numFmtId="0" fontId="8" fillId="3" borderId="11" xfId="0" applyFont="1" applyFill="1" applyBorder="1" applyAlignment="1" applyProtection="1">
      <alignment horizontal="center" vertical="top"/>
      <protection locked="0"/>
    </xf>
    <xf numFmtId="0" fontId="8" fillId="3" borderId="5" xfId="0" applyFont="1" applyFill="1" applyBorder="1" applyAlignment="1" applyProtection="1">
      <alignment horizontal="center" vertical="top"/>
      <protection locked="0"/>
    </xf>
    <xf numFmtId="0" fontId="8" fillId="3" borderId="12" xfId="0" applyFont="1" applyFill="1" applyBorder="1" applyAlignment="1" applyProtection="1">
      <alignment horizontal="center" vertical="top"/>
      <protection locked="0"/>
    </xf>
    <xf numFmtId="0" fontId="10" fillId="2" borderId="9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igikey.com/en/products/detail/bourns-inc/SRP1265A-8R2M/4876632?s=N4IgTCBcDaIMoCUAKBGMA2ArAQQLQA4EwBZEAXQF8g" TargetMode="External"/><Relationship Id="rId21" Type="http://schemas.openxmlformats.org/officeDocument/2006/relationships/hyperlink" Target="https://www.digikey.com/en/products/detail/onsemi/MBR0520LT1G/918574?s=N4IgTCBcDaILICEBKAGArGFAZAKgRgHEQBdAXyA" TargetMode="External"/><Relationship Id="rId42" Type="http://schemas.openxmlformats.org/officeDocument/2006/relationships/hyperlink" Target="https://www.digikey.com/en/products/detail/yageo/RC0402FR-071KL/726513?s=N4IgTCBcDaIEoGEAMAWJYBicC0SDsAjANIAyIAugL5A" TargetMode="External"/><Relationship Id="rId47" Type="http://schemas.openxmlformats.org/officeDocument/2006/relationships/hyperlink" Target="https://www.digikey.com/en/products/detail/yageo/RC0603FR-0722K1L/727058?s=N4IgTCBcDaIEoGEAMA2JBmAYnAtEg7GGANICMAMiALoC%2BQA" TargetMode="External"/><Relationship Id="rId63" Type="http://schemas.openxmlformats.org/officeDocument/2006/relationships/hyperlink" Target="https://www.digikey.com/en/products/detail/espressif-systems/ESP32-WROOM-32UE-N16/11613145?s=N4IgTCBcDaIKIGUAKBmMBaA6gJQPK4Fl00BVOdAOQEYA2EAXQF8g" TargetMode="External"/><Relationship Id="rId68" Type="http://schemas.openxmlformats.org/officeDocument/2006/relationships/hyperlink" Target="https://www.lcsc.com/product-detail/Electrostatic-and-Surge-Protection-TVS-span-style-background-color-ff0-ESD-span_UMW-Youtai-Semiconductor-Co-Ltd-LESD5D5-0CT1G_C5199850.html" TargetMode="External"/><Relationship Id="rId84" Type="http://schemas.openxmlformats.org/officeDocument/2006/relationships/hyperlink" Target="https://www.digikey.com/en/products/detail/yageo/RT0402BRD078K2L/1069419?s=N4IgTCBcDaIEoBUAMAWJYBCcAiSDsAHANJgAyIAugL5A" TargetMode="External"/><Relationship Id="rId89" Type="http://schemas.openxmlformats.org/officeDocument/2006/relationships/printerSettings" Target="../printerSettings/printerSettings1.bin"/><Relationship Id="rId16" Type="http://schemas.openxmlformats.org/officeDocument/2006/relationships/hyperlink" Target="https://www.digikey.com/en/products/detail/yageo/CC0603JRNPO9BN472/11491327?s=N4IgTCBcDaIMJwAwDZEGYBSAlAcgBQHkBOAIRwBYB2CAXQF8g" TargetMode="External"/><Relationship Id="rId11" Type="http://schemas.openxmlformats.org/officeDocument/2006/relationships/hyperlink" Target="https://www.digikey.com/en/products/detail/murata-electronics/GRM31CR61E476ME44L/7243446?s=N4IgTCBcDaIOICUCyBmAjAYQQNjQUQBYB2bJQggGRAF0BfIA" TargetMode="External"/><Relationship Id="rId32" Type="http://schemas.openxmlformats.org/officeDocument/2006/relationships/hyperlink" Target="https://www.digikey.com/en/products/detail/yageo/RT0402BRD0734K8L/1069222?s=N4IgTCBcDaIEoBUAMAWJYBCcAiSDsAzCgNIAcAMiALoC%2BQA" TargetMode="External"/><Relationship Id="rId37" Type="http://schemas.openxmlformats.org/officeDocument/2006/relationships/hyperlink" Target="https://www.digikey.com/en/products/detail/yageo/RT0402BRD071K6L/1069110?s=N4IgTCBcDaIEoBUAMAWJYBCcAiSDsAjANIBsAMiALoC%2BQA" TargetMode="External"/><Relationship Id="rId53" Type="http://schemas.openxmlformats.org/officeDocument/2006/relationships/hyperlink" Target="https://www.digikey.com/en/products/detail/yageo/RC0402FR-074K7L/2827563?s=N4IgTCBcDaIEoGEAMAWJYBicC0SDsKA0ngDIgC6AvkA" TargetMode="External"/><Relationship Id="rId58" Type="http://schemas.openxmlformats.org/officeDocument/2006/relationships/hyperlink" Target="https://www.digikey.com/en/products/detail/texas-instruments/LMR33620CQ5RNXRQ1/9861491?s=N4IgTCBcDaIDIFkBKBmFA2MAGAwgRQFYkA5ADSTwEYQBdAXyA" TargetMode="External"/><Relationship Id="rId74" Type="http://schemas.openxmlformats.org/officeDocument/2006/relationships/hyperlink" Target="https://www.lcsc.com/product-detail/NAND-FLASH_XTX-XTSD01GLGEAG_C558837.html" TargetMode="External"/><Relationship Id="rId79" Type="http://schemas.openxmlformats.org/officeDocument/2006/relationships/hyperlink" Target="https://www.lcsc.com/product-detail/Antennas_HJ-Tech-HJ-2-4GHz-5dBi-SMA_C1509154.html" TargetMode="External"/><Relationship Id="rId5" Type="http://schemas.openxmlformats.org/officeDocument/2006/relationships/hyperlink" Target="https://www.digikey.com/en/products/detail/yageo/CC0603KRX7R9BB474/12082403?s=N4IgTCBcDaIMJwAwDZEGYDSAlAGgdiwE4AhYgFjzJAF0BfIA" TargetMode="External"/><Relationship Id="rId14" Type="http://schemas.openxmlformats.org/officeDocument/2006/relationships/hyperlink" Target="https://www.digikey.com/en/products/detail/murata-electronics/GRM158R61A226ME15D/16033379?s=N4IgTCBcDaIOICUCyBGArADgQNhQQTDGyQFF0AREAXQF8g" TargetMode="External"/><Relationship Id="rId22" Type="http://schemas.openxmlformats.org/officeDocument/2006/relationships/hyperlink" Target="https://www.digikey.com/en/products/detail/nexperia-usa-inc/PMEG3010ER-115/2119868" TargetMode="External"/><Relationship Id="rId27" Type="http://schemas.openxmlformats.org/officeDocument/2006/relationships/hyperlink" Target="https://www.digikey.com/en/products/detail/tdk-corporation/CLF7045T-2R2N-D/3910344?s=N4IgTCBcDaIMIBkBiB2ADAFgKwBUC0YASmAHJ4AiIAugL5A" TargetMode="External"/><Relationship Id="rId30" Type="http://schemas.openxmlformats.org/officeDocument/2006/relationships/hyperlink" Target="https://www.digikey.com/en/products/detail/texas-instruments/CSD17309Q3/2268970?s=N4IgTCBcDaIMIGUAiBGA7AZgAwE4CKGIAugL5A" TargetMode="External"/><Relationship Id="rId35" Type="http://schemas.openxmlformats.org/officeDocument/2006/relationships/hyperlink" Target="https://www.digikey.com/en/products/detail/yageo/RT0603BRD0747KL/1072543?s=N4IgTCBcDaIEoBUAMA2JBmAQnAIkg7ACz4DSAMiALoC%2BQA" TargetMode="External"/><Relationship Id="rId43" Type="http://schemas.openxmlformats.org/officeDocument/2006/relationships/hyperlink" Target="https://www.digikey.com/en/products/detail/yageo/RC0402FR-07100KL/726526?s=N4IgTCBcDaIEoGEAMAWJYBicC0SDsAjEkgNIAyIAugL5A" TargetMode="External"/><Relationship Id="rId48" Type="http://schemas.openxmlformats.org/officeDocument/2006/relationships/hyperlink" Target="https://www.digikey.com/en/products/detail/yageo/RC0402FR-0710KL/726523?s=N4IgTCBcDaIEoGEAMAWJYBicC0SDsAjEgNIAyIAugL5A" TargetMode="External"/><Relationship Id="rId56" Type="http://schemas.openxmlformats.org/officeDocument/2006/relationships/hyperlink" Target="https://www.digikey.com/en/products/detail/w%C3%BCrth-elektronik/760390015/3831267?s=N4IgTCBcDaIOwDYAMBmAnEpBGArCAugL5A" TargetMode="External"/><Relationship Id="rId64" Type="http://schemas.openxmlformats.org/officeDocument/2006/relationships/hyperlink" Target="https://www.digikey.com/en/products/detail/texas-instruments/ISO1050DWR/2596853?s=N4IgTCBcDaIJIGUDyBGADAVjQEQOoCUQBdAXyA" TargetMode="External"/><Relationship Id="rId69" Type="http://schemas.openxmlformats.org/officeDocument/2006/relationships/hyperlink" Target="https://www.lcsc.com/product-detail/Wire-To-Board-Wire-To-Wire-Connector_BOOMELE-Boom-Precision-Elec-C145963_C145963.html" TargetMode="External"/><Relationship Id="rId77" Type="http://schemas.openxmlformats.org/officeDocument/2006/relationships/hyperlink" Target="https://www.digikey.com/en/products/detail/yageo/RT0603BRD07240RL/1072382?s=N4IgTCBcDaIEoBUAMA2JBmAQnAIkg7GACxJwAyIAugL5A" TargetMode="External"/><Relationship Id="rId8" Type="http://schemas.openxmlformats.org/officeDocument/2006/relationships/hyperlink" Target="https://www.digikey.com/en/products/detail/murata-electronics/GRM155R71E473KA88D/702519?s=N4IgTCBcDaIOICUCyBGArGhB2FBRALFgMwDSAggBwUAiIAugL5A" TargetMode="External"/><Relationship Id="rId51" Type="http://schemas.openxmlformats.org/officeDocument/2006/relationships/hyperlink" Target="https://www.digikey.com/en/products/detail/yageo/RC0603FR-0749R9L/727264?s=N4IgTCBcDaIEoGEAMA2JBmAYnAtEg7ACwCccxAMiALoC%2BQA" TargetMode="External"/><Relationship Id="rId72" Type="http://schemas.openxmlformats.org/officeDocument/2006/relationships/hyperlink" Target="https://www.lcsc.com/product-detail/Light-Emitting-Diodes-LED_Foshan-NationStar-Optoelectronics-NCD0603G2_C87326.html" TargetMode="External"/><Relationship Id="rId80" Type="http://schemas.openxmlformats.org/officeDocument/2006/relationships/hyperlink" Target="https://www.digikey.com/en/products/detail/yageo/CC0402JRX7R7BB223/5883287?s=N4IgTCBcDaIMJwAwBZFgFICUAaB2TuAQoWGAMwgC6AvkA" TargetMode="External"/><Relationship Id="rId85" Type="http://schemas.openxmlformats.org/officeDocument/2006/relationships/hyperlink" Target="https://www.digikey.com/en/products/detail/yageo/RT0402BRD0722K1L/1069134?s=N4IgTCBcDaIEoBUAMAWJYBCcAiSDsYYA0gIwAyIAugL5A" TargetMode="External"/><Relationship Id="rId3" Type="http://schemas.openxmlformats.org/officeDocument/2006/relationships/hyperlink" Target="https://www.digikey.com/en/products/detail/panasonic-electronic-components/50SVPF10M/4209237?s=N4IgTCBcDaIKwAYDKA1ACgMQIwILIgF0BfIA" TargetMode="External"/><Relationship Id="rId12" Type="http://schemas.openxmlformats.org/officeDocument/2006/relationships/hyperlink" Target="https://www.digikey.com/en/products/detail/yageo/CC0402KRX5R7BB105/5195100?s=N4IgTCBcDaIMJwAwBZFgNICUAaBWTA7AEJECMiuIAugL5A" TargetMode="External"/><Relationship Id="rId17" Type="http://schemas.openxmlformats.org/officeDocument/2006/relationships/hyperlink" Target="https://www.digikey.com/en/products/detail/stmicroelectronics/STPS20M100SG-TR/2122461?s=N4IgTCBcDaIMoBUAKcwAYCyBGNa4HEBaBAJRAF0BfIA" TargetMode="External"/><Relationship Id="rId25" Type="http://schemas.openxmlformats.org/officeDocument/2006/relationships/hyperlink" Target="https://www.digikey.com/en/products/detail/littelfuse-commercial-vehicle-products/178-6165-0002/653477?s=N4IgTCBcDaIIwHYAcA6AbHNBWFAGfEAugL5A" TargetMode="External"/><Relationship Id="rId33" Type="http://schemas.openxmlformats.org/officeDocument/2006/relationships/hyperlink" Target="https://www.digikey.com/en/products/detail/yageo/RC0603FR-071ML/726844?s=N4IgTCBcDaIEoGEAMA2JBmAYnAtEg7AIwCyAMiALoC%2BQA" TargetMode="External"/><Relationship Id="rId38" Type="http://schemas.openxmlformats.org/officeDocument/2006/relationships/hyperlink" Target="https://www.digikey.com/en/products/detail/yageo/RT0402BRD078K66L/1069421?s=N4IgTCBcDaIEoBUAMAWJYBCcAiSDsAHANIBsJAMiALoC%2BQA" TargetMode="External"/><Relationship Id="rId46" Type="http://schemas.openxmlformats.org/officeDocument/2006/relationships/hyperlink" Target="https://www.digikey.com/en/products/detail/yageo/RC0402FR-072KL/2827565?s=N4IgTCBcDaIEoGEAMAWJYBicC0SDsYA0gDIgC6AvkA" TargetMode="External"/><Relationship Id="rId59" Type="http://schemas.openxmlformats.org/officeDocument/2006/relationships/hyperlink" Target="https://www.digikey.com/en/products/detail/texas-instruments/TLV76733QWDRBRQ1/15856719?s=N4IgTCBcDaICoBkBqB2AbCgzJgigdQBEAlAISJwEYQBdAXyA" TargetMode="External"/><Relationship Id="rId67" Type="http://schemas.openxmlformats.org/officeDocument/2006/relationships/hyperlink" Target="https://www.digikey.com/en/products/detail/texas-instruments/SN74HC14QDRQ1/864250?s=N4IgTCBcDaIMoDkDsAWAEgYQIwoIoBEAlXLEAXQF8g" TargetMode="External"/><Relationship Id="rId20" Type="http://schemas.openxmlformats.org/officeDocument/2006/relationships/hyperlink" Target="https://www.digikey.com/en/products/detail/diodes-incorporated/SMAJ33AQ-13-F/9738894?s=N4IgTCBcDaIMoFkCCApAzGpBFAtARjRwDEQBdAXyA" TargetMode="External"/><Relationship Id="rId41" Type="http://schemas.openxmlformats.org/officeDocument/2006/relationships/hyperlink" Target="https://www.digikey.com/en/products/detail/yageo/RC0402FR-071K5L/726519?s=N4IgTCBcDaIEoGEAMAWJYBicC0SDsAjANICsAMiALoC%2BQA" TargetMode="External"/><Relationship Id="rId54" Type="http://schemas.openxmlformats.org/officeDocument/2006/relationships/hyperlink" Target="https://www.digikey.com/en/products/detail/yageo/RC0603FR-07120RL/726920?s=N4IgTCBcDaIEoGEAMA2JBmAYnAtEg7AIxhJwAyIAugL5A" TargetMode="External"/><Relationship Id="rId62" Type="http://schemas.openxmlformats.org/officeDocument/2006/relationships/hyperlink" Target="https://www.digikey.com/en/products/detail/silicon-labs/CP2102N-A02-GQFN28R/9863480?s=N4IgTCBcDaIMIAUwEYAMYByBaAgurA4gIoBiGYAHAEogC6AvkA" TargetMode="External"/><Relationship Id="rId70" Type="http://schemas.openxmlformats.org/officeDocument/2006/relationships/hyperlink" Target="https://www.lcsc.com/product-detail/Light-Emitting-Diodes-LED_Foshan-NationStar-Optoelectronics-NCD0603R3_C3151730.html" TargetMode="External"/><Relationship Id="rId75" Type="http://schemas.openxmlformats.org/officeDocument/2006/relationships/hyperlink" Target="https://www.digikey.com/en/products/detail/tdk-corporation/MMZ2012R102ATD25/5040278?s=N4IgTCBcDaILJwFpgAwEYwCU0rAQQBUARMAVhAF0BfIA" TargetMode="External"/><Relationship Id="rId83" Type="http://schemas.openxmlformats.org/officeDocument/2006/relationships/hyperlink" Target="https://www.digikey.com/en/products/detail/yageo/RT0402BRE0727KL/1069620?s=N4IgTCBcDaIEoBUAMAWJYBCcCiSDsYeA0gDIgC6AvkA" TargetMode="External"/><Relationship Id="rId88" Type="http://schemas.openxmlformats.org/officeDocument/2006/relationships/hyperlink" Target="https://www.lcsc.com/product-detail/Radio-Frequency-Cable_Shenzhen-Kinghelm-Elec-KHB65-37-11-28-A-3_C2832000.html" TargetMode="External"/><Relationship Id="rId1" Type="http://schemas.openxmlformats.org/officeDocument/2006/relationships/hyperlink" Target="https://www.digikey.com/en/products/detail/samsung-electro-mechanics/CL05A105KA5NQNC/3887103?s=N4IgTCBcDaIMIBkAMBWAggRlQaTSgcgIr5wgC6AvkA" TargetMode="External"/><Relationship Id="rId6" Type="http://schemas.openxmlformats.org/officeDocument/2006/relationships/hyperlink" Target="https://www.digikey.com/en/products/detail/yageo/CC0603KRX7R9BB223/2103108?s=N4IgTCBcDaIMJwAwDZEGYDSAlAGgdiwE4AhYsMNEAXQF8g" TargetMode="External"/><Relationship Id="rId15" Type="http://schemas.openxmlformats.org/officeDocument/2006/relationships/hyperlink" Target="https://www.digikey.com/en/products/detail/tdk-corporation/CGA3E2C0G2A680J080AA/3949573?s=N4IgTCBcDaIMIHECCBmAomOAGBYkDYAOLAKQBUsBNLAORAF0BfIA" TargetMode="External"/><Relationship Id="rId23" Type="http://schemas.openxmlformats.org/officeDocument/2006/relationships/hyperlink" Target="https://www.digikey.com/en/products/detail/bourns-inc/CDSOT23-SM712/1630592?s=N4IgTCBcDaIMIBEDKB5AKmAzAWiQWQHYBGCAXQF8g" TargetMode="External"/><Relationship Id="rId28" Type="http://schemas.openxmlformats.org/officeDocument/2006/relationships/hyperlink" Target="https://www.digikey.com/en/products/detail/tdk-corporation/ACT45B-510-2P-TL003/1950642?s=N4IgTCBcDaIIIGEAqAWArAIQLRoIwAYswAFLJAGX3wGYQBdAXyA" TargetMode="External"/><Relationship Id="rId36" Type="http://schemas.openxmlformats.org/officeDocument/2006/relationships/hyperlink" Target="https://www.digikey.com/en/products/detail/bourns-inc/CRA2512-FZ-R010ELF/1775029?s=N4IgTCBcDaIMICUCCYCsBGMBaAYgLSwQAZ0iBRAGRxAF0BfIA" TargetMode="External"/><Relationship Id="rId49" Type="http://schemas.openxmlformats.org/officeDocument/2006/relationships/hyperlink" Target="https://www.digikey.com/en/products/detail/yageo/RC0603FR-07220RL/727061?s=N4IgTCBcDaIEoGEAMA2JBmAYnAtEg7GGEnADIgC6AvkA" TargetMode="External"/><Relationship Id="rId57" Type="http://schemas.openxmlformats.org/officeDocument/2006/relationships/hyperlink" Target="https://www.digikey.com/en/products/detail/texas-instruments/LM25118Q1MHX-NOPB/3640694?s=N4IgTCBcDaIDIFkwFYCMqAcBFVCASAGgPQByA8gAoBCIAugL5A" TargetMode="External"/><Relationship Id="rId10" Type="http://schemas.openxmlformats.org/officeDocument/2006/relationships/hyperlink" Target="https://www.digikey.com/en/products/detail/samsung-electro-mechanics/CL10A475KA8NQNC/3887558?s=N4IgTCBcDaIMIBkCMAGAggFgOwFYDSaAHAHICKxcIAugL5A" TargetMode="External"/><Relationship Id="rId31" Type="http://schemas.openxmlformats.org/officeDocument/2006/relationships/hyperlink" Target="https://www.digikey.com/en/products/detail/comchip-technology/SS8050-G/6138901?s=N4IgTCBcDaIMpwBwAYCsyC0BxEBdAvkA" TargetMode="External"/><Relationship Id="rId44" Type="http://schemas.openxmlformats.org/officeDocument/2006/relationships/hyperlink" Target="https://www.digikey.com/en/products/detail/yageo/RC0402FR-07499RL/726623?s=N4IgTCBcDaIEoGEAMAWJYBicC0SDsKAnIXADIgC6AvkA" TargetMode="External"/><Relationship Id="rId52" Type="http://schemas.openxmlformats.org/officeDocument/2006/relationships/hyperlink" Target="https://www.digikey.com/en/products/detail/yageo/RT1206BRD0759RL/1079897?s=N4IgTCBcDaIEoBUCMYAMA2AQnAIqg7AKwCccAMiALoC%2BQA" TargetMode="External"/><Relationship Id="rId60" Type="http://schemas.openxmlformats.org/officeDocument/2006/relationships/hyperlink" Target="https://www.digikey.com/en/products/detail/texas-instruments/SN6501QDBVRQ1/4251770?s=N4IgTCBcDaIMoDkBsBWADARgIoBEBCAagEpYYgC6AvkA" TargetMode="External"/><Relationship Id="rId65" Type="http://schemas.openxmlformats.org/officeDocument/2006/relationships/hyperlink" Target="https://www.digikey.com/en/products/detail/texas-instruments/LM317MDCYR/454187" TargetMode="External"/><Relationship Id="rId73" Type="http://schemas.openxmlformats.org/officeDocument/2006/relationships/hyperlink" Target="https://www.lcsc.com/product-detail/Light-Emitting-Diodes-LED_Foshan-NationStar-Optoelectronics-NCD0603B3_C158101.html" TargetMode="External"/><Relationship Id="rId78" Type="http://schemas.openxmlformats.org/officeDocument/2006/relationships/hyperlink" Target="https://www.digikey.com/en/products/detail/yageo/RC0603FR-0722RL/727055?s=N4IgTCBcDaIEoGEAMA2JBmAYnAtEg7GGHADIgC6AvkA" TargetMode="External"/><Relationship Id="rId81" Type="http://schemas.openxmlformats.org/officeDocument/2006/relationships/hyperlink" Target="https://www.digikey.com/en/products/detail/yageo/CC0402JRX7R7BB104/5195085?s=N4IgTCBcDaIMJwAwBZFgFICUAaB2TuAQoQIwogC6AvkA" TargetMode="External"/><Relationship Id="rId86" Type="http://schemas.openxmlformats.org/officeDocument/2006/relationships/hyperlink" Target="https://www.digikey.com/en/products/detail/texas-instruments/OPA350UA-2K5/301257" TargetMode="External"/><Relationship Id="rId4" Type="http://schemas.openxmlformats.org/officeDocument/2006/relationships/hyperlink" Target="https://www.digikey.com/en/products/detail/panasonic-electronic-components/25SVPF100M/4209272?s=N4IgTCBcDa4KwGUBqAFAYgRgAxYLIgF0BfIA" TargetMode="External"/><Relationship Id="rId9" Type="http://schemas.openxmlformats.org/officeDocument/2006/relationships/hyperlink" Target="https://www.digikey.com/en/products/detail/murata-electronics/GRM1555C1H102JA01D/702509?s=N4IgTCBcDaIOICUCyBGArBgwigEigDGAFICC%2BKAIiALoC%2BQA" TargetMode="External"/><Relationship Id="rId13" Type="http://schemas.openxmlformats.org/officeDocument/2006/relationships/hyperlink" Target="https://www.digikey.com/en/products/detail/yageo/CC0402MRX5R6BB106/7164364?s=N4IgTCBcDaIMJwAwBZFgLICUAaBWTAbAEJECMiBIAugL5A" TargetMode="External"/><Relationship Id="rId18" Type="http://schemas.openxmlformats.org/officeDocument/2006/relationships/hyperlink" Target="https://www.digikey.com/en/products/detail/diodes-incorporated/PDS760-13/776756" TargetMode="External"/><Relationship Id="rId39" Type="http://schemas.openxmlformats.org/officeDocument/2006/relationships/hyperlink" Target="https://www.digikey.com/en/products/detail/yageo/RT0402BRD0721KL/1069128?s=N4IgTCBcDaIEoBUAMAWJYBCcAiSDsYAjANIAyIAugL5A" TargetMode="External"/><Relationship Id="rId34" Type="http://schemas.openxmlformats.org/officeDocument/2006/relationships/hyperlink" Target="https://www.digikey.com/en/products/detail/yageo/RT0402BRD0712K1L/1069019?s=N4IgTCBcDaIEoBUAMAWJYBCcAiSDsAjGANIEAyIAugL5A" TargetMode="External"/><Relationship Id="rId50" Type="http://schemas.openxmlformats.org/officeDocument/2006/relationships/hyperlink" Target="https://www.digikey.com/en/products/detail/yageo/RC0603FR-0747K5L/727255?s=N4IgTCBcDaIEoGEAMA2JBmAYnAtEg7ACz4DSArADIgC6AvkA" TargetMode="External"/><Relationship Id="rId55" Type="http://schemas.openxmlformats.org/officeDocument/2006/relationships/hyperlink" Target="https://www.digikey.com/en/products/detail/omron-electronics-inc-emc-div/B3U-1000P/1534338" TargetMode="External"/><Relationship Id="rId76" Type="http://schemas.openxmlformats.org/officeDocument/2006/relationships/hyperlink" Target="https://www.digikey.com/en/products/detail/yageo/RC0402FR-070RL/2827570?s=N4IgTCBcDaIEoGEAMAWJYBicC0SDsScAMiALoC%2BQA" TargetMode="External"/><Relationship Id="rId7" Type="http://schemas.openxmlformats.org/officeDocument/2006/relationships/hyperlink" Target="https://www.digikey.com/en/products/detail/yageo/CC0603KPX7R9BB471/691810?s=N4IgTCBcDaIMJwAwDZEGYDSAFAGgdgCUBOAIRIBY8BGEAXQF8g" TargetMode="External"/><Relationship Id="rId71" Type="http://schemas.openxmlformats.org/officeDocument/2006/relationships/hyperlink" Target="https://www.lcsc.com/product-detail/Light-Emitting-Diodes-LED_Foshan-NationStar-Optoelectronics-NCD0603Y2_C89811.html" TargetMode="External"/><Relationship Id="rId2" Type="http://schemas.openxmlformats.org/officeDocument/2006/relationships/hyperlink" Target="https://www.digikey.com/en/products/detail/samsung-electro-mechanics/CL05B104KB54PNC/11487801?s=N4IgTCBcDaIMIBkAMBWAQgRiQFgNJpWwAUA5OEAXQF8g" TargetMode="External"/><Relationship Id="rId29" Type="http://schemas.openxmlformats.org/officeDocument/2006/relationships/hyperlink" Target="https://www.digikey.com/en/products/detail/texas-instruments/CSD18504Q5A/3478068" TargetMode="External"/><Relationship Id="rId24" Type="http://schemas.openxmlformats.org/officeDocument/2006/relationships/hyperlink" Target="https://www.digikey.com/en/products/detail/vishay-general-semiconductor-diodes-division/MSP3V3HM3-89A/2149921?s=N4IgTCBcDaILIGUAKBmAaigEnFB6AHAJwCCIAugL5A" TargetMode="External"/><Relationship Id="rId40" Type="http://schemas.openxmlformats.org/officeDocument/2006/relationships/hyperlink" Target="https://www.digikey.com/en/products/detail/yageo/RT0402BRD0710KL/1068998?s=N4IgTCBcDaIEoBUAMAWJYBCcAiSDsAjEgNIAyIAugL5A" TargetMode="External"/><Relationship Id="rId45" Type="http://schemas.openxmlformats.org/officeDocument/2006/relationships/hyperlink" Target="https://www.digikey.com/en/products/detail/yageo/RC0402FR-07240RL/2827564?s=N4IgTCBcDaIEoGEAMAWJYBicC0SDsYacAMiALoC%2BQA" TargetMode="External"/><Relationship Id="rId66" Type="http://schemas.openxmlformats.org/officeDocument/2006/relationships/hyperlink" Target="https://www.digikey.com/en/products/detail/texas-instruments/ADS1115IDGSR/2231567?s=N4IgTCBcDaIIIBEDKBGNBWAkgg4kgSiALoC%2BQA" TargetMode="External"/><Relationship Id="rId87" Type="http://schemas.openxmlformats.org/officeDocument/2006/relationships/hyperlink" Target="https://www.tindie.com/products/voltlog/voltlink-cp2102n-usb-serial-adapter-programmer/" TargetMode="External"/><Relationship Id="rId61" Type="http://schemas.openxmlformats.org/officeDocument/2006/relationships/hyperlink" Target="https://www.digikey.com/en/products/detail/texas-instruments/TPS76350QDBVRQ1/1673245?s=N4IgTCBcDaICoAUDKB2AbAZgKwAYCKAIgEIBqASngIwgC6AvkA" TargetMode="External"/><Relationship Id="rId82" Type="http://schemas.openxmlformats.org/officeDocument/2006/relationships/hyperlink" Target="https://www.digikey.com/en/products/detail/yageo/CC0402JRX7R7BB153/5883285?s=N4IgTCBcDaIMJwAwBZFgFICUAaB2TuAQoQIwCsAzCALoC%2BQA" TargetMode="External"/><Relationship Id="rId19" Type="http://schemas.openxmlformats.org/officeDocument/2006/relationships/hyperlink" Target="https://www.digikey.com/en/products/detail/onsemi/MM3Z3V3B/1626765?s=N4IgTCBcDaILJwMwC1EDVECEQF0C%2BQ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94"/>
  <sheetViews>
    <sheetView tabSelected="1" topLeftCell="A67" workbookViewId="0">
      <selection activeCell="O39" sqref="O39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25.28515625" bestFit="1" customWidth="1"/>
    <col min="8" max="8" width="18.85546875" bestFit="1" customWidth="1"/>
    <col min="9" max="9" width="6.140625" bestFit="1" customWidth="1"/>
    <col min="10" max="10" width="8.7109375" bestFit="1" customWidth="1"/>
    <col min="11" max="11" width="16.7109375" bestFit="1" customWidth="1"/>
    <col min="12" max="12" width="7.5703125" bestFit="1" customWidth="1"/>
    <col min="13" max="13" width="9.7109375" bestFit="1" customWidth="1"/>
    <col min="14" max="14" width="13.42578125" bestFit="1" customWidth="1"/>
    <col min="15" max="15" width="29.42578125" customWidth="1"/>
    <col min="16" max="16" width="10.5703125" bestFit="1" customWidth="1"/>
    <col min="17" max="17" width="36" bestFit="1" customWidth="1"/>
    <col min="18" max="18" width="25.28515625" bestFit="1" customWidth="1"/>
  </cols>
  <sheetData>
    <row r="1" spans="1:17" ht="15.75" thickBot="1" x14ac:dyDescent="0.3">
      <c r="A1" s="1"/>
      <c r="B1" s="3"/>
      <c r="C1" s="3"/>
      <c r="D1" s="2"/>
      <c r="E1" s="2"/>
      <c r="F1" s="2"/>
      <c r="G1" s="2"/>
      <c r="H1" s="2"/>
      <c r="I1" s="35"/>
      <c r="J1" s="35"/>
      <c r="K1" s="35"/>
      <c r="L1" s="35"/>
      <c r="M1" s="35"/>
      <c r="N1" s="35"/>
      <c r="O1" s="35"/>
      <c r="Q1" s="2"/>
    </row>
    <row r="2" spans="1:17" ht="15.75" thickBot="1" x14ac:dyDescent="0.3">
      <c r="A2" s="1"/>
      <c r="B2" s="5" t="s">
        <v>0</v>
      </c>
      <c r="C2" s="5" t="s">
        <v>1</v>
      </c>
      <c r="D2" s="5" t="s">
        <v>18</v>
      </c>
      <c r="E2" s="5" t="s">
        <v>70</v>
      </c>
      <c r="F2" s="5" t="s">
        <v>144</v>
      </c>
      <c r="G2" s="6" t="s">
        <v>182</v>
      </c>
      <c r="H2" s="5" t="s">
        <v>244</v>
      </c>
      <c r="I2" s="6" t="s">
        <v>308</v>
      </c>
      <c r="J2" s="5" t="s">
        <v>307</v>
      </c>
      <c r="K2" s="5" t="s">
        <v>315</v>
      </c>
      <c r="L2" s="23" t="s">
        <v>310</v>
      </c>
      <c r="M2" s="5" t="s">
        <v>313</v>
      </c>
      <c r="N2" s="6" t="s">
        <v>314</v>
      </c>
      <c r="O2" s="5" t="s">
        <v>309</v>
      </c>
    </row>
    <row r="3" spans="1:17" ht="15.75" thickBot="1" x14ac:dyDescent="0.3">
      <c r="A3" s="1"/>
      <c r="B3" s="11">
        <f>ROW(B3) - ROW($B$2)</f>
        <v>1</v>
      </c>
      <c r="C3" s="12" t="s">
        <v>2</v>
      </c>
      <c r="D3" s="7" t="s">
        <v>367</v>
      </c>
      <c r="E3" s="7" t="s">
        <v>71</v>
      </c>
      <c r="F3" s="7" t="s">
        <v>145</v>
      </c>
      <c r="G3" s="8" t="s">
        <v>183</v>
      </c>
      <c r="H3" s="7" t="s">
        <v>245</v>
      </c>
      <c r="I3" s="8" t="s">
        <v>268</v>
      </c>
      <c r="J3" s="7">
        <v>9</v>
      </c>
      <c r="K3" s="7">
        <f>J3*5</f>
        <v>45</v>
      </c>
      <c r="L3" s="24" t="s">
        <v>312</v>
      </c>
      <c r="M3" s="14">
        <v>0.124</v>
      </c>
      <c r="N3" s="31">
        <f>M3*K3</f>
        <v>5.58</v>
      </c>
      <c r="O3" s="7"/>
    </row>
    <row r="4" spans="1:17" ht="48.75" thickBot="1" x14ac:dyDescent="0.3">
      <c r="A4" s="1"/>
      <c r="B4" s="11">
        <f t="shared" ref="B4:B86" si="0">ROW(B4) - ROW($B$2)</f>
        <v>2</v>
      </c>
      <c r="C4" s="12" t="s">
        <v>2</v>
      </c>
      <c r="D4" s="9" t="s">
        <v>368</v>
      </c>
      <c r="E4" s="9" t="s">
        <v>72</v>
      </c>
      <c r="F4" s="9" t="s">
        <v>145</v>
      </c>
      <c r="G4" s="10" t="s">
        <v>184</v>
      </c>
      <c r="H4" s="9" t="s">
        <v>245</v>
      </c>
      <c r="I4" s="10" t="s">
        <v>269</v>
      </c>
      <c r="J4" s="9">
        <v>31</v>
      </c>
      <c r="K4" s="7">
        <f t="shared" ref="K4:K59" si="1">J4*5</f>
        <v>155</v>
      </c>
      <c r="L4" s="25" t="s">
        <v>312</v>
      </c>
      <c r="M4" s="14">
        <v>1.9400000000000001E-2</v>
      </c>
      <c r="N4" s="31">
        <f t="shared" ref="N4:N68" si="2">M4*K4</f>
        <v>3.0070000000000001</v>
      </c>
      <c r="O4" s="9"/>
    </row>
    <row r="5" spans="1:17" ht="15.75" thickBot="1" x14ac:dyDescent="0.3">
      <c r="A5" s="1"/>
      <c r="B5" s="11">
        <f>ROW(B5) - ROW($B$2)</f>
        <v>3</v>
      </c>
      <c r="C5" s="12" t="s">
        <v>2</v>
      </c>
      <c r="D5" s="7" t="s">
        <v>19</v>
      </c>
      <c r="E5" s="7" t="s">
        <v>73</v>
      </c>
      <c r="F5" s="7" t="s">
        <v>316</v>
      </c>
      <c r="G5" s="8" t="s">
        <v>146</v>
      </c>
      <c r="H5" s="7" t="s">
        <v>246</v>
      </c>
      <c r="I5" s="8" t="s">
        <v>270</v>
      </c>
      <c r="J5" s="7">
        <v>2</v>
      </c>
      <c r="K5" s="7">
        <f t="shared" si="1"/>
        <v>10</v>
      </c>
      <c r="L5" s="25" t="s">
        <v>312</v>
      </c>
      <c r="M5" s="14">
        <v>0.92100000000000004</v>
      </c>
      <c r="N5" s="31">
        <f t="shared" si="2"/>
        <v>9.2100000000000009</v>
      </c>
      <c r="O5" s="7"/>
    </row>
    <row r="6" spans="1:17" ht="15.75" thickBot="1" x14ac:dyDescent="0.3">
      <c r="A6" s="1"/>
      <c r="B6" s="11">
        <f t="shared" si="0"/>
        <v>4</v>
      </c>
      <c r="C6" s="12" t="s">
        <v>2</v>
      </c>
      <c r="D6" s="9" t="s">
        <v>20</v>
      </c>
      <c r="E6" s="9" t="s">
        <v>74</v>
      </c>
      <c r="F6" s="9" t="s">
        <v>316</v>
      </c>
      <c r="G6" s="10" t="s">
        <v>147</v>
      </c>
      <c r="H6" s="9" t="s">
        <v>246</v>
      </c>
      <c r="I6" s="10" t="s">
        <v>271</v>
      </c>
      <c r="J6" s="9">
        <v>2</v>
      </c>
      <c r="K6" s="7">
        <f t="shared" si="1"/>
        <v>10</v>
      </c>
      <c r="L6" s="25" t="s">
        <v>312</v>
      </c>
      <c r="M6" s="14">
        <v>1.0389999999999999</v>
      </c>
      <c r="N6" s="31">
        <f t="shared" si="2"/>
        <v>10.389999999999999</v>
      </c>
      <c r="O6" s="9"/>
    </row>
    <row r="7" spans="1:17" ht="15.75" thickBot="1" x14ac:dyDescent="0.3">
      <c r="A7" s="1"/>
      <c r="B7" s="11">
        <f>ROW(B7) - ROW($B$2)</f>
        <v>5</v>
      </c>
      <c r="C7" s="12" t="s">
        <v>2</v>
      </c>
      <c r="D7" s="7" t="s">
        <v>369</v>
      </c>
      <c r="E7" s="7" t="s">
        <v>317</v>
      </c>
      <c r="F7" s="7" t="s">
        <v>148</v>
      </c>
      <c r="G7" s="8" t="s">
        <v>185</v>
      </c>
      <c r="H7" s="7" t="s">
        <v>247</v>
      </c>
      <c r="I7" s="8" t="s">
        <v>272</v>
      </c>
      <c r="J7" s="7">
        <v>2</v>
      </c>
      <c r="K7" s="7">
        <f t="shared" si="1"/>
        <v>10</v>
      </c>
      <c r="L7" s="25" t="s">
        <v>312</v>
      </c>
      <c r="M7" s="14">
        <v>0.22</v>
      </c>
      <c r="N7" s="31">
        <f t="shared" si="2"/>
        <v>2.2000000000000002</v>
      </c>
      <c r="O7" s="7"/>
    </row>
    <row r="8" spans="1:17" ht="15.75" thickBot="1" x14ac:dyDescent="0.3">
      <c r="A8" s="1"/>
      <c r="B8" s="11">
        <f t="shared" si="0"/>
        <v>6</v>
      </c>
      <c r="C8" s="12" t="s">
        <v>2</v>
      </c>
      <c r="D8" s="9" t="s">
        <v>21</v>
      </c>
      <c r="E8" s="9" t="s">
        <v>75</v>
      </c>
      <c r="F8" s="9" t="s">
        <v>148</v>
      </c>
      <c r="G8" s="10" t="s">
        <v>186</v>
      </c>
      <c r="H8" s="9" t="s">
        <v>247</v>
      </c>
      <c r="I8" s="10" t="s">
        <v>273</v>
      </c>
      <c r="J8" s="9">
        <v>1</v>
      </c>
      <c r="K8" s="7">
        <f t="shared" si="1"/>
        <v>5</v>
      </c>
      <c r="L8" s="25" t="s">
        <v>312</v>
      </c>
      <c r="M8" s="14">
        <v>0.1</v>
      </c>
      <c r="N8" s="31">
        <f t="shared" si="2"/>
        <v>0.5</v>
      </c>
      <c r="O8" s="9"/>
    </row>
    <row r="9" spans="1:17" ht="15.75" thickBot="1" x14ac:dyDescent="0.3">
      <c r="A9" s="1"/>
      <c r="B9" s="11">
        <f>ROW(B9) - ROW($B$2)</f>
        <v>7</v>
      </c>
      <c r="C9" s="12" t="s">
        <v>2</v>
      </c>
      <c r="D9" s="7" t="s">
        <v>22</v>
      </c>
      <c r="E9" s="7" t="s">
        <v>76</v>
      </c>
      <c r="F9" s="7" t="s">
        <v>148</v>
      </c>
      <c r="G9" s="8" t="s">
        <v>187</v>
      </c>
      <c r="H9" s="7" t="s">
        <v>247</v>
      </c>
      <c r="I9" s="8" t="s">
        <v>274</v>
      </c>
      <c r="J9" s="7">
        <v>1</v>
      </c>
      <c r="K9" s="7">
        <f t="shared" si="1"/>
        <v>5</v>
      </c>
      <c r="L9" s="25" t="s">
        <v>312</v>
      </c>
      <c r="M9" s="14">
        <v>0.1</v>
      </c>
      <c r="N9" s="31">
        <f t="shared" si="2"/>
        <v>0.5</v>
      </c>
      <c r="O9" s="7"/>
    </row>
    <row r="10" spans="1:17" ht="15.75" thickBot="1" x14ac:dyDescent="0.3">
      <c r="A10" s="1"/>
      <c r="B10" s="11">
        <f t="shared" si="0"/>
        <v>8</v>
      </c>
      <c r="C10" s="12" t="s">
        <v>2</v>
      </c>
      <c r="D10" s="9" t="s">
        <v>23</v>
      </c>
      <c r="E10" s="9" t="s">
        <v>77</v>
      </c>
      <c r="F10" s="9" t="s">
        <v>145</v>
      </c>
      <c r="G10" s="10" t="s">
        <v>188</v>
      </c>
      <c r="H10" s="9" t="s">
        <v>248</v>
      </c>
      <c r="I10" s="10" t="s">
        <v>275</v>
      </c>
      <c r="J10" s="9">
        <v>1</v>
      </c>
      <c r="K10" s="7">
        <f t="shared" si="1"/>
        <v>5</v>
      </c>
      <c r="L10" s="25" t="s">
        <v>312</v>
      </c>
      <c r="M10" s="14">
        <v>0.1</v>
      </c>
      <c r="N10" s="31">
        <f t="shared" si="2"/>
        <v>0.5</v>
      </c>
      <c r="O10" s="9"/>
    </row>
    <row r="11" spans="1:17" ht="15.75" thickBot="1" x14ac:dyDescent="0.3">
      <c r="A11" s="1"/>
      <c r="B11" s="11">
        <f>ROW(B11) - ROW($B$2)</f>
        <v>9</v>
      </c>
      <c r="C11" s="12" t="s">
        <v>2</v>
      </c>
      <c r="D11" s="7" t="s">
        <v>24</v>
      </c>
      <c r="E11" s="7" t="s">
        <v>78</v>
      </c>
      <c r="F11" s="7" t="s">
        <v>145</v>
      </c>
      <c r="G11" s="8" t="s">
        <v>189</v>
      </c>
      <c r="H11" s="7" t="s">
        <v>248</v>
      </c>
      <c r="I11" s="8" t="s">
        <v>276</v>
      </c>
      <c r="J11" s="7">
        <v>1</v>
      </c>
      <c r="K11" s="7">
        <f t="shared" si="1"/>
        <v>5</v>
      </c>
      <c r="L11" s="25" t="s">
        <v>312</v>
      </c>
      <c r="M11" s="14">
        <v>0.1</v>
      </c>
      <c r="N11" s="31">
        <f t="shared" si="2"/>
        <v>0.5</v>
      </c>
      <c r="O11" s="7"/>
    </row>
    <row r="12" spans="1:17" ht="15.75" thickBot="1" x14ac:dyDescent="0.3">
      <c r="A12" s="1"/>
      <c r="B12" s="11">
        <f t="shared" si="0"/>
        <v>10</v>
      </c>
      <c r="C12" s="12" t="s">
        <v>2</v>
      </c>
      <c r="D12" s="9" t="s">
        <v>25</v>
      </c>
      <c r="E12" s="9" t="s">
        <v>79</v>
      </c>
      <c r="F12" s="9" t="s">
        <v>148</v>
      </c>
      <c r="G12" s="10" t="s">
        <v>190</v>
      </c>
      <c r="H12" s="9" t="s">
        <v>245</v>
      </c>
      <c r="I12" s="10" t="s">
        <v>277</v>
      </c>
      <c r="J12" s="9">
        <v>3</v>
      </c>
      <c r="K12" s="7">
        <f t="shared" si="1"/>
        <v>15</v>
      </c>
      <c r="L12" s="25" t="s">
        <v>312</v>
      </c>
      <c r="M12" s="14">
        <v>0.22600000000000001</v>
      </c>
      <c r="N12" s="31">
        <f t="shared" si="2"/>
        <v>3.39</v>
      </c>
      <c r="O12" s="9"/>
    </row>
    <row r="13" spans="1:17" ht="15.75" thickBot="1" x14ac:dyDescent="0.3">
      <c r="A13" s="1"/>
      <c r="B13" s="11">
        <f>ROW(B13) - ROW($B$2)</f>
        <v>11</v>
      </c>
      <c r="C13" s="12" t="s">
        <v>2</v>
      </c>
      <c r="D13" s="7" t="s">
        <v>26</v>
      </c>
      <c r="E13" s="7" t="s">
        <v>80</v>
      </c>
      <c r="F13" s="7" t="s">
        <v>149</v>
      </c>
      <c r="G13" s="8" t="s">
        <v>191</v>
      </c>
      <c r="H13" s="7" t="s">
        <v>248</v>
      </c>
      <c r="I13" s="8" t="s">
        <v>278</v>
      </c>
      <c r="J13" s="7">
        <v>2</v>
      </c>
      <c r="K13" s="7">
        <f t="shared" si="1"/>
        <v>10</v>
      </c>
      <c r="L13" s="25" t="s">
        <v>312</v>
      </c>
      <c r="M13" s="14">
        <v>0.73699999999999999</v>
      </c>
      <c r="N13" s="31">
        <f t="shared" si="2"/>
        <v>7.37</v>
      </c>
      <c r="O13" s="7"/>
    </row>
    <row r="14" spans="1:17" ht="15.75" thickBot="1" x14ac:dyDescent="0.3">
      <c r="A14" s="1"/>
      <c r="B14" s="11">
        <f t="shared" si="0"/>
        <v>12</v>
      </c>
      <c r="C14" s="12" t="s">
        <v>2</v>
      </c>
      <c r="D14" s="9" t="s">
        <v>27</v>
      </c>
      <c r="E14" s="9" t="s">
        <v>81</v>
      </c>
      <c r="F14" s="9" t="s">
        <v>145</v>
      </c>
      <c r="G14" s="10" t="s">
        <v>192</v>
      </c>
      <c r="H14" s="9" t="s">
        <v>247</v>
      </c>
      <c r="I14" s="10" t="s">
        <v>268</v>
      </c>
      <c r="J14" s="9">
        <v>1</v>
      </c>
      <c r="K14" s="7">
        <f t="shared" si="1"/>
        <v>5</v>
      </c>
      <c r="L14" s="25" t="s">
        <v>312</v>
      </c>
      <c r="M14" s="14">
        <v>0.22</v>
      </c>
      <c r="N14" s="31">
        <f t="shared" si="2"/>
        <v>1.1000000000000001</v>
      </c>
      <c r="O14" s="9"/>
    </row>
    <row r="15" spans="1:17" ht="15.75" thickBot="1" x14ac:dyDescent="0.3">
      <c r="A15" s="1"/>
      <c r="B15" s="11">
        <f>ROW(B15) - ROW($B$2)</f>
        <v>13</v>
      </c>
      <c r="C15" s="12" t="s">
        <v>2</v>
      </c>
      <c r="D15" s="7" t="s">
        <v>370</v>
      </c>
      <c r="E15" s="7" t="s">
        <v>82</v>
      </c>
      <c r="F15" s="7" t="s">
        <v>145</v>
      </c>
      <c r="G15" s="8" t="s">
        <v>193</v>
      </c>
      <c r="H15" s="7" t="s">
        <v>247</v>
      </c>
      <c r="I15" s="8" t="s">
        <v>270</v>
      </c>
      <c r="J15" s="7">
        <v>7</v>
      </c>
      <c r="K15" s="7">
        <f t="shared" si="1"/>
        <v>35</v>
      </c>
      <c r="L15" s="25" t="s">
        <v>312</v>
      </c>
      <c r="M15" s="14">
        <v>0.26</v>
      </c>
      <c r="N15" s="31">
        <f t="shared" si="2"/>
        <v>9.1</v>
      </c>
      <c r="O15" s="7"/>
    </row>
    <row r="16" spans="1:17" ht="15.75" thickBot="1" x14ac:dyDescent="0.3">
      <c r="A16" s="1"/>
      <c r="B16" s="11">
        <f t="shared" si="0"/>
        <v>14</v>
      </c>
      <c r="C16" s="12" t="s">
        <v>2</v>
      </c>
      <c r="D16" s="9" t="s">
        <v>28</v>
      </c>
      <c r="E16" s="9" t="s">
        <v>83</v>
      </c>
      <c r="F16" s="9" t="s">
        <v>145</v>
      </c>
      <c r="G16" s="10" t="s">
        <v>318</v>
      </c>
      <c r="H16" s="9" t="s">
        <v>248</v>
      </c>
      <c r="I16" s="10" t="s">
        <v>279</v>
      </c>
      <c r="J16" s="9">
        <v>1</v>
      </c>
      <c r="K16" s="7">
        <f t="shared" si="1"/>
        <v>5</v>
      </c>
      <c r="L16" s="25" t="s">
        <v>312</v>
      </c>
      <c r="M16" s="14">
        <v>0.45</v>
      </c>
      <c r="N16" s="31">
        <f t="shared" si="2"/>
        <v>2.25</v>
      </c>
      <c r="O16" s="9"/>
    </row>
    <row r="17" spans="1:15" ht="15.75" thickBot="1" x14ac:dyDescent="0.3">
      <c r="A17" s="1"/>
      <c r="B17" s="11">
        <f>ROW(B17) - ROW($B$2)</f>
        <v>15</v>
      </c>
      <c r="C17" s="12" t="s">
        <v>2</v>
      </c>
      <c r="D17" s="7" t="s">
        <v>371</v>
      </c>
      <c r="E17" s="7" t="s">
        <v>84</v>
      </c>
      <c r="F17" s="7" t="s">
        <v>148</v>
      </c>
      <c r="G17" s="8" t="s">
        <v>194</v>
      </c>
      <c r="H17" s="7" t="s">
        <v>258</v>
      </c>
      <c r="I17" s="8" t="s">
        <v>280</v>
      </c>
      <c r="J17" s="7">
        <v>2</v>
      </c>
      <c r="K17" s="7">
        <f t="shared" si="1"/>
        <v>10</v>
      </c>
      <c r="L17" s="25" t="s">
        <v>312</v>
      </c>
      <c r="M17" s="14">
        <v>0.11899999999999999</v>
      </c>
      <c r="N17" s="31">
        <f t="shared" si="2"/>
        <v>1.19</v>
      </c>
      <c r="O17" s="7"/>
    </row>
    <row r="18" spans="1:15" ht="15.75" thickBot="1" x14ac:dyDescent="0.3">
      <c r="A18" s="1"/>
      <c r="B18" s="11">
        <f t="shared" si="0"/>
        <v>16</v>
      </c>
      <c r="C18" s="12" t="s">
        <v>2</v>
      </c>
      <c r="D18" s="9" t="s">
        <v>372</v>
      </c>
      <c r="E18" s="9" t="s">
        <v>85</v>
      </c>
      <c r="F18" s="9" t="s">
        <v>148</v>
      </c>
      <c r="G18" s="10" t="s">
        <v>195</v>
      </c>
      <c r="H18" s="9" t="s">
        <v>247</v>
      </c>
      <c r="I18" s="10" t="s">
        <v>281</v>
      </c>
      <c r="J18" s="9">
        <v>1</v>
      </c>
      <c r="K18" s="7">
        <f t="shared" si="1"/>
        <v>5</v>
      </c>
      <c r="L18" s="25" t="s">
        <v>312</v>
      </c>
      <c r="M18" s="14">
        <v>0.48</v>
      </c>
      <c r="N18" s="31">
        <f t="shared" si="2"/>
        <v>2.4</v>
      </c>
      <c r="O18" s="9"/>
    </row>
    <row r="19" spans="1:15" ht="24.75" thickBot="1" x14ac:dyDescent="0.3">
      <c r="A19" s="1"/>
      <c r="B19" s="11">
        <f>ROW(B19) - ROW($B$2)</f>
        <v>17</v>
      </c>
      <c r="C19" s="12" t="s">
        <v>2</v>
      </c>
      <c r="D19" s="7" t="s">
        <v>373</v>
      </c>
      <c r="E19" s="8" t="s">
        <v>351</v>
      </c>
      <c r="F19" s="7" t="s">
        <v>145</v>
      </c>
      <c r="G19" s="8" t="s">
        <v>344</v>
      </c>
      <c r="H19" s="7" t="s">
        <v>247</v>
      </c>
      <c r="I19" s="8" t="s">
        <v>273</v>
      </c>
      <c r="J19" s="7">
        <v>12</v>
      </c>
      <c r="K19" s="7">
        <f t="shared" si="1"/>
        <v>60</v>
      </c>
      <c r="L19" s="25" t="s">
        <v>312</v>
      </c>
      <c r="M19" s="14">
        <v>0.1</v>
      </c>
      <c r="N19" s="31">
        <f t="shared" si="2"/>
        <v>6</v>
      </c>
      <c r="O19" s="7"/>
    </row>
    <row r="20" spans="1:15" ht="15.75" thickBot="1" x14ac:dyDescent="0.3">
      <c r="A20" s="1"/>
      <c r="B20" s="11">
        <f t="shared" ref="B20" si="3">ROW(B20) - ROW($B$2)</f>
        <v>18</v>
      </c>
      <c r="C20" s="13" t="s">
        <v>2</v>
      </c>
      <c r="D20" s="9" t="s">
        <v>374</v>
      </c>
      <c r="E20" s="10" t="s">
        <v>352</v>
      </c>
      <c r="F20" s="9" t="s">
        <v>145</v>
      </c>
      <c r="G20" s="10" t="s">
        <v>345</v>
      </c>
      <c r="H20" s="9" t="s">
        <v>247</v>
      </c>
      <c r="I20" s="10" t="s">
        <v>269</v>
      </c>
      <c r="J20" s="9">
        <v>4</v>
      </c>
      <c r="K20" s="7">
        <f t="shared" si="1"/>
        <v>20</v>
      </c>
      <c r="L20" s="25" t="s">
        <v>312</v>
      </c>
      <c r="M20" s="14">
        <v>0.1</v>
      </c>
      <c r="N20" s="31">
        <f t="shared" si="2"/>
        <v>2</v>
      </c>
      <c r="O20" s="7"/>
    </row>
    <row r="21" spans="1:15" ht="15.75" thickBot="1" x14ac:dyDescent="0.3">
      <c r="A21" s="1"/>
      <c r="B21" s="11">
        <f>ROW(B21) - ROW($B$2)</f>
        <v>19</v>
      </c>
      <c r="C21" s="12" t="s">
        <v>2</v>
      </c>
      <c r="D21" s="7" t="s">
        <v>375</v>
      </c>
      <c r="E21" s="8" t="s">
        <v>353</v>
      </c>
      <c r="F21" s="7" t="s">
        <v>145</v>
      </c>
      <c r="G21" s="8" t="s">
        <v>346</v>
      </c>
      <c r="H21" s="7" t="s">
        <v>247</v>
      </c>
      <c r="I21" s="8" t="s">
        <v>354</v>
      </c>
      <c r="J21" s="7">
        <v>4</v>
      </c>
      <c r="K21" s="7">
        <f t="shared" si="1"/>
        <v>20</v>
      </c>
      <c r="L21" s="25" t="s">
        <v>312</v>
      </c>
      <c r="M21" s="14">
        <v>0.1</v>
      </c>
      <c r="N21" s="31">
        <f t="shared" si="2"/>
        <v>2</v>
      </c>
      <c r="O21" s="7"/>
    </row>
    <row r="22" spans="1:15" ht="15.75" thickBot="1" x14ac:dyDescent="0.3">
      <c r="A22" s="1"/>
      <c r="B22" s="11">
        <f>ROW(B22) - ROW($B$2)</f>
        <v>20</v>
      </c>
      <c r="C22" s="12" t="s">
        <v>3</v>
      </c>
      <c r="D22" s="7" t="s">
        <v>29</v>
      </c>
      <c r="E22" s="7" t="s">
        <v>86</v>
      </c>
      <c r="F22" s="7" t="s">
        <v>150</v>
      </c>
      <c r="G22" s="8" t="s">
        <v>196</v>
      </c>
      <c r="H22" s="7" t="s">
        <v>249</v>
      </c>
      <c r="I22" s="8" t="s">
        <v>311</v>
      </c>
      <c r="J22" s="7">
        <v>1</v>
      </c>
      <c r="K22" s="7">
        <f t="shared" si="1"/>
        <v>5</v>
      </c>
      <c r="L22" s="25" t="s">
        <v>312</v>
      </c>
      <c r="M22" s="14">
        <v>2.96</v>
      </c>
      <c r="N22" s="31">
        <f t="shared" si="2"/>
        <v>14.8</v>
      </c>
      <c r="O22" s="7"/>
    </row>
    <row r="23" spans="1:15" ht="15.75" thickBot="1" x14ac:dyDescent="0.3">
      <c r="A23" s="1"/>
      <c r="B23" s="11">
        <f t="shared" si="0"/>
        <v>21</v>
      </c>
      <c r="C23" s="13" t="s">
        <v>3</v>
      </c>
      <c r="D23" s="9" t="s">
        <v>30</v>
      </c>
      <c r="E23" s="9" t="s">
        <v>87</v>
      </c>
      <c r="F23" s="9" t="s">
        <v>151</v>
      </c>
      <c r="G23" s="10" t="s">
        <v>197</v>
      </c>
      <c r="H23" s="9" t="s">
        <v>250</v>
      </c>
      <c r="I23" s="8" t="s">
        <v>311</v>
      </c>
      <c r="J23" s="9">
        <v>1</v>
      </c>
      <c r="K23" s="7">
        <f t="shared" si="1"/>
        <v>5</v>
      </c>
      <c r="L23" s="25" t="s">
        <v>312</v>
      </c>
      <c r="M23" s="14">
        <v>0.91</v>
      </c>
      <c r="N23" s="31">
        <f t="shared" si="2"/>
        <v>4.55</v>
      </c>
      <c r="O23" s="9"/>
    </row>
    <row r="24" spans="1:15" ht="24.75" thickBot="1" x14ac:dyDescent="0.3">
      <c r="A24" s="1"/>
      <c r="B24" s="11">
        <f>ROW(B24) - ROW($B$2)</f>
        <v>22</v>
      </c>
      <c r="C24" s="13" t="s">
        <v>3</v>
      </c>
      <c r="D24" s="7" t="s">
        <v>31</v>
      </c>
      <c r="E24" s="7" t="s">
        <v>88</v>
      </c>
      <c r="F24" s="7" t="s">
        <v>152</v>
      </c>
      <c r="G24" s="8" t="s">
        <v>198</v>
      </c>
      <c r="H24" s="7" t="s">
        <v>251</v>
      </c>
      <c r="I24" s="8" t="s">
        <v>311</v>
      </c>
      <c r="J24" s="7">
        <v>1</v>
      </c>
      <c r="K24" s="7">
        <f t="shared" si="1"/>
        <v>5</v>
      </c>
      <c r="L24" s="25" t="s">
        <v>312</v>
      </c>
      <c r="M24" s="14">
        <v>0.21</v>
      </c>
      <c r="N24" s="31">
        <f t="shared" si="2"/>
        <v>1.05</v>
      </c>
      <c r="O24" s="7"/>
    </row>
    <row r="25" spans="1:15" ht="15.75" thickBot="1" x14ac:dyDescent="0.3">
      <c r="A25" s="1"/>
      <c r="B25" s="11">
        <f t="shared" si="0"/>
        <v>23</v>
      </c>
      <c r="C25" s="13" t="s">
        <v>3</v>
      </c>
      <c r="D25" s="9" t="s">
        <v>32</v>
      </c>
      <c r="E25" s="9" t="s">
        <v>89</v>
      </c>
      <c r="F25" s="9" t="s">
        <v>153</v>
      </c>
      <c r="G25" s="10" t="s">
        <v>199</v>
      </c>
      <c r="H25" s="9" t="s">
        <v>250</v>
      </c>
      <c r="I25" s="8" t="s">
        <v>311</v>
      </c>
      <c r="J25" s="9">
        <v>1</v>
      </c>
      <c r="K25" s="7">
        <f t="shared" si="1"/>
        <v>5</v>
      </c>
      <c r="L25" s="25" t="s">
        <v>312</v>
      </c>
      <c r="M25" s="14">
        <v>0.38</v>
      </c>
      <c r="N25" s="31">
        <f t="shared" si="2"/>
        <v>1.9</v>
      </c>
      <c r="O25" s="9"/>
    </row>
    <row r="26" spans="1:15" ht="15.75" thickBot="1" x14ac:dyDescent="0.3">
      <c r="A26" s="1"/>
      <c r="B26" s="11">
        <f>ROW(B26) - ROW($B$2)</f>
        <v>24</v>
      </c>
      <c r="C26" s="12" t="s">
        <v>3</v>
      </c>
      <c r="D26" s="7" t="s">
        <v>33</v>
      </c>
      <c r="E26" s="7" t="s">
        <v>90</v>
      </c>
      <c r="F26" s="7" t="s">
        <v>154</v>
      </c>
      <c r="G26" s="8" t="s">
        <v>200</v>
      </c>
      <c r="H26" s="7" t="s">
        <v>252</v>
      </c>
      <c r="I26" s="8" t="s">
        <v>311</v>
      </c>
      <c r="J26" s="7">
        <v>2</v>
      </c>
      <c r="K26" s="7">
        <f t="shared" si="1"/>
        <v>10</v>
      </c>
      <c r="L26" s="25" t="s">
        <v>312</v>
      </c>
      <c r="M26" s="14">
        <v>0.255</v>
      </c>
      <c r="N26" s="31">
        <f t="shared" si="2"/>
        <v>2.5499999999999998</v>
      </c>
      <c r="O26" s="7"/>
    </row>
    <row r="27" spans="1:15" ht="15.75" thickBot="1" x14ac:dyDescent="0.3">
      <c r="A27" s="1"/>
      <c r="B27" s="11">
        <f t="shared" si="0"/>
        <v>25</v>
      </c>
      <c r="C27" s="12" t="s">
        <v>3</v>
      </c>
      <c r="D27" s="42" t="s">
        <v>34</v>
      </c>
      <c r="E27" s="42" t="s">
        <v>91</v>
      </c>
      <c r="F27" s="42" t="s">
        <v>155</v>
      </c>
      <c r="G27" s="43" t="s">
        <v>201</v>
      </c>
      <c r="H27" s="42" t="s">
        <v>253</v>
      </c>
      <c r="I27" s="44" t="s">
        <v>311</v>
      </c>
      <c r="J27" s="42">
        <v>1</v>
      </c>
      <c r="K27" s="45">
        <f t="shared" si="1"/>
        <v>5</v>
      </c>
      <c r="L27" s="25" t="s">
        <v>312</v>
      </c>
      <c r="M27" s="14"/>
      <c r="N27" s="31"/>
      <c r="O27" s="34"/>
    </row>
    <row r="28" spans="1:15" ht="24.75" thickBot="1" x14ac:dyDescent="0.3">
      <c r="A28" s="1"/>
      <c r="B28" s="11">
        <f>ROW(B28) - ROW($B$2)</f>
        <v>26</v>
      </c>
      <c r="C28" s="12" t="s">
        <v>4</v>
      </c>
      <c r="D28" s="9" t="s">
        <v>376</v>
      </c>
      <c r="E28" s="7" t="s">
        <v>92</v>
      </c>
      <c r="F28" s="7" t="s">
        <v>156</v>
      </c>
      <c r="G28" s="8" t="s">
        <v>202</v>
      </c>
      <c r="H28" s="7" t="s">
        <v>254</v>
      </c>
      <c r="I28" s="8" t="s">
        <v>311</v>
      </c>
      <c r="J28" s="7">
        <v>3</v>
      </c>
      <c r="K28" s="7">
        <f t="shared" si="1"/>
        <v>15</v>
      </c>
      <c r="L28" s="25" t="s">
        <v>323</v>
      </c>
      <c r="M28" s="14">
        <v>1.54E-2</v>
      </c>
      <c r="N28" s="31">
        <f t="shared" si="2"/>
        <v>0.23100000000000001</v>
      </c>
      <c r="O28" s="7"/>
    </row>
    <row r="29" spans="1:15" ht="26.25" thickBot="1" x14ac:dyDescent="0.3">
      <c r="A29" s="1"/>
      <c r="B29" s="11">
        <f t="shared" si="0"/>
        <v>27</v>
      </c>
      <c r="C29" s="13" t="s">
        <v>5</v>
      </c>
      <c r="D29" s="7" t="s">
        <v>377</v>
      </c>
      <c r="E29" s="9" t="s">
        <v>93</v>
      </c>
      <c r="F29" s="9" t="s">
        <v>157</v>
      </c>
      <c r="G29" s="10" t="s">
        <v>203</v>
      </c>
      <c r="H29" s="9" t="s">
        <v>255</v>
      </c>
      <c r="I29" s="8" t="s">
        <v>311</v>
      </c>
      <c r="J29" s="9">
        <v>1</v>
      </c>
      <c r="K29" s="7">
        <f t="shared" si="1"/>
        <v>5</v>
      </c>
      <c r="L29" s="25" t="s">
        <v>312</v>
      </c>
      <c r="M29" s="14">
        <v>1.5</v>
      </c>
      <c r="N29" s="31">
        <f t="shared" si="2"/>
        <v>7.5</v>
      </c>
      <c r="O29" s="9"/>
    </row>
    <row r="30" spans="1:15" ht="24.75" thickBot="1" x14ac:dyDescent="0.3">
      <c r="A30" s="1"/>
      <c r="B30" s="11">
        <f>ROW(B30) - ROW($B$2)</f>
        <v>28</v>
      </c>
      <c r="C30" s="12" t="s">
        <v>6</v>
      </c>
      <c r="D30" s="9" t="s">
        <v>378</v>
      </c>
      <c r="E30" s="7" t="s">
        <v>94</v>
      </c>
      <c r="F30" s="7" t="s">
        <v>158</v>
      </c>
      <c r="G30" s="8" t="s">
        <v>282</v>
      </c>
      <c r="H30" s="7" t="s">
        <v>319</v>
      </c>
      <c r="I30" s="8" t="s">
        <v>311</v>
      </c>
      <c r="J30" s="7">
        <v>4</v>
      </c>
      <c r="K30" s="7">
        <f t="shared" si="1"/>
        <v>20</v>
      </c>
      <c r="L30" s="25" t="s">
        <v>312</v>
      </c>
      <c r="M30" s="14">
        <v>0.26900000000000002</v>
      </c>
      <c r="N30" s="31">
        <f t="shared" si="2"/>
        <v>5.3800000000000008</v>
      </c>
      <c r="O30" s="7"/>
    </row>
    <row r="31" spans="1:15" ht="15.75" thickBot="1" x14ac:dyDescent="0.3">
      <c r="A31" s="1"/>
      <c r="B31" s="11">
        <f>ROW(B31) - ROW($B$2)</f>
        <v>29</v>
      </c>
      <c r="C31" s="13" t="s">
        <v>329</v>
      </c>
      <c r="D31" s="9" t="s">
        <v>326</v>
      </c>
      <c r="E31" s="9" t="s">
        <v>330</v>
      </c>
      <c r="F31" s="9" t="s">
        <v>331</v>
      </c>
      <c r="G31" s="10" t="s">
        <v>327</v>
      </c>
      <c r="H31" s="9" t="s">
        <v>258</v>
      </c>
      <c r="I31" s="8" t="s">
        <v>311</v>
      </c>
      <c r="J31" s="7">
        <v>5</v>
      </c>
      <c r="K31" s="7">
        <f t="shared" si="1"/>
        <v>25</v>
      </c>
      <c r="L31" s="25" t="s">
        <v>312</v>
      </c>
      <c r="M31" s="14">
        <v>9.2999999999999999E-2</v>
      </c>
      <c r="N31" s="31">
        <f t="shared" si="2"/>
        <v>2.3250000000000002</v>
      </c>
      <c r="O31" s="7"/>
    </row>
    <row r="32" spans="1:15" ht="15.75" thickBot="1" x14ac:dyDescent="0.3">
      <c r="A32" s="1"/>
      <c r="B32" s="11">
        <f t="shared" si="0"/>
        <v>30</v>
      </c>
      <c r="C32" s="13" t="s">
        <v>7</v>
      </c>
      <c r="D32" s="9" t="s">
        <v>336</v>
      </c>
      <c r="E32" s="9" t="s">
        <v>95</v>
      </c>
      <c r="F32" s="9" t="s">
        <v>316</v>
      </c>
      <c r="G32" s="10" t="s">
        <v>159</v>
      </c>
      <c r="H32" s="9" t="s">
        <v>256</v>
      </c>
      <c r="I32" s="8" t="s">
        <v>311</v>
      </c>
      <c r="J32" s="9">
        <v>1</v>
      </c>
      <c r="K32" s="7">
        <f t="shared" si="1"/>
        <v>5</v>
      </c>
      <c r="L32" s="25" t="s">
        <v>312</v>
      </c>
      <c r="M32" s="14">
        <v>4.3280000000000003</v>
      </c>
      <c r="N32" s="31">
        <f t="shared" si="2"/>
        <v>21.64</v>
      </c>
      <c r="O32" s="9"/>
    </row>
    <row r="33" spans="1:15" ht="36.75" thickBot="1" x14ac:dyDescent="0.3">
      <c r="A33" s="1"/>
      <c r="B33" s="11">
        <f>ROW(B33) - ROW($B$2)</f>
        <v>31</v>
      </c>
      <c r="C33" s="12" t="s">
        <v>8</v>
      </c>
      <c r="D33" s="7" t="s">
        <v>35</v>
      </c>
      <c r="E33" s="7" t="s">
        <v>96</v>
      </c>
      <c r="F33" s="7" t="s">
        <v>316</v>
      </c>
      <c r="G33" s="8" t="s">
        <v>204</v>
      </c>
      <c r="H33" s="7" t="s">
        <v>257</v>
      </c>
      <c r="I33" s="8" t="s">
        <v>311</v>
      </c>
      <c r="J33" s="7">
        <v>1</v>
      </c>
      <c r="K33" s="7">
        <f t="shared" si="1"/>
        <v>5</v>
      </c>
      <c r="L33" s="25" t="s">
        <v>323</v>
      </c>
      <c r="M33" s="14">
        <v>6.8000000000000005E-2</v>
      </c>
      <c r="N33" s="31">
        <f t="shared" si="2"/>
        <v>0.34</v>
      </c>
      <c r="O33" s="7"/>
    </row>
    <row r="34" spans="1:15" ht="15.75" thickBot="1" x14ac:dyDescent="0.3">
      <c r="A34" s="1"/>
      <c r="B34" s="11">
        <f>ROW(B34) - ROW($B$2)</f>
        <v>32</v>
      </c>
      <c r="C34" s="12" t="s">
        <v>8</v>
      </c>
      <c r="D34" s="7" t="s">
        <v>36</v>
      </c>
      <c r="E34" s="7"/>
      <c r="F34" s="7"/>
      <c r="G34" s="9" t="s">
        <v>379</v>
      </c>
      <c r="H34" s="7"/>
      <c r="I34" s="8"/>
      <c r="J34" s="7">
        <v>1</v>
      </c>
      <c r="K34" s="7">
        <f t="shared" si="1"/>
        <v>5</v>
      </c>
      <c r="L34" s="25"/>
      <c r="M34" s="14"/>
      <c r="N34" s="31"/>
      <c r="O34" s="12" t="s">
        <v>401</v>
      </c>
    </row>
    <row r="35" spans="1:15" ht="15.75" thickBot="1" x14ac:dyDescent="0.3">
      <c r="A35" s="1"/>
      <c r="B35" s="11">
        <f>ROW(B35) - ROW($B$2)</f>
        <v>33</v>
      </c>
      <c r="C35" s="12" t="s">
        <v>9</v>
      </c>
      <c r="D35" s="7" t="s">
        <v>37</v>
      </c>
      <c r="E35" s="7" t="s">
        <v>97</v>
      </c>
      <c r="F35" s="7" t="s">
        <v>316</v>
      </c>
      <c r="G35" s="8" t="s">
        <v>160</v>
      </c>
      <c r="H35" s="7" t="s">
        <v>255</v>
      </c>
      <c r="I35" s="8" t="s">
        <v>283</v>
      </c>
      <c r="J35" s="7">
        <v>1</v>
      </c>
      <c r="K35" s="7">
        <f t="shared" si="1"/>
        <v>5</v>
      </c>
      <c r="L35" s="25" t="s">
        <v>312</v>
      </c>
      <c r="M35" s="14">
        <v>1.56</v>
      </c>
      <c r="N35" s="31">
        <f t="shared" si="2"/>
        <v>7.8000000000000007</v>
      </c>
      <c r="O35" s="7"/>
    </row>
    <row r="36" spans="1:15" ht="15.75" thickBot="1" x14ac:dyDescent="0.3">
      <c r="A36" s="1"/>
      <c r="B36" s="11">
        <f t="shared" si="0"/>
        <v>34</v>
      </c>
      <c r="C36" s="13" t="s">
        <v>9</v>
      </c>
      <c r="D36" s="9" t="s">
        <v>38</v>
      </c>
      <c r="E36" s="9" t="s">
        <v>98</v>
      </c>
      <c r="F36" s="7" t="s">
        <v>316</v>
      </c>
      <c r="G36" s="10" t="s">
        <v>161</v>
      </c>
      <c r="H36" s="9" t="s">
        <v>258</v>
      </c>
      <c r="I36" s="10" t="s">
        <v>284</v>
      </c>
      <c r="J36" s="9">
        <v>1</v>
      </c>
      <c r="K36" s="7">
        <f t="shared" si="1"/>
        <v>5</v>
      </c>
      <c r="L36" s="25" t="s">
        <v>312</v>
      </c>
      <c r="M36" s="14">
        <v>1.19</v>
      </c>
      <c r="N36" s="31">
        <f t="shared" si="2"/>
        <v>5.9499999999999993</v>
      </c>
      <c r="O36" s="9"/>
    </row>
    <row r="37" spans="1:15" ht="15.75" thickBot="1" x14ac:dyDescent="0.3">
      <c r="A37" s="1"/>
      <c r="B37" s="11">
        <f>ROW(B37) - ROW($B$2)</f>
        <v>35</v>
      </c>
      <c r="C37" s="12" t="s">
        <v>10</v>
      </c>
      <c r="D37" s="7" t="s">
        <v>39</v>
      </c>
      <c r="E37" s="7" t="s">
        <v>99</v>
      </c>
      <c r="F37" s="7" t="s">
        <v>316</v>
      </c>
      <c r="G37" s="8" t="s">
        <v>162</v>
      </c>
      <c r="H37" s="7" t="s">
        <v>258</v>
      </c>
      <c r="I37" s="8" t="s">
        <v>311</v>
      </c>
      <c r="J37" s="7">
        <v>1</v>
      </c>
      <c r="K37" s="7">
        <f t="shared" si="1"/>
        <v>5</v>
      </c>
      <c r="L37" s="25" t="s">
        <v>312</v>
      </c>
      <c r="M37" s="14">
        <v>1.85</v>
      </c>
      <c r="N37" s="31">
        <f t="shared" si="2"/>
        <v>9.25</v>
      </c>
      <c r="O37" s="7"/>
    </row>
    <row r="38" spans="1:15" ht="24.75" thickBot="1" x14ac:dyDescent="0.3">
      <c r="A38" s="1"/>
      <c r="B38" s="11">
        <f t="shared" si="0"/>
        <v>36</v>
      </c>
      <c r="C38" s="13" t="s">
        <v>11</v>
      </c>
      <c r="D38" s="9" t="s">
        <v>40</v>
      </c>
      <c r="E38" s="9" t="s">
        <v>100</v>
      </c>
      <c r="F38" s="9" t="s">
        <v>163</v>
      </c>
      <c r="G38" s="10" t="s">
        <v>205</v>
      </c>
      <c r="H38" s="9" t="s">
        <v>259</v>
      </c>
      <c r="I38" s="8" t="s">
        <v>311</v>
      </c>
      <c r="J38" s="9">
        <v>4</v>
      </c>
      <c r="K38" s="7">
        <f t="shared" si="1"/>
        <v>20</v>
      </c>
      <c r="L38" s="25" t="s">
        <v>323</v>
      </c>
      <c r="M38" s="14">
        <v>2.0799999999999999E-2</v>
      </c>
      <c r="N38" s="31">
        <f t="shared" si="2"/>
        <v>0.41599999999999998</v>
      </c>
      <c r="O38" s="9"/>
    </row>
    <row r="39" spans="1:15" ht="24.75" thickBot="1" x14ac:dyDescent="0.3">
      <c r="A39" s="1"/>
      <c r="B39" s="11">
        <f>ROW(B39) - ROW($B$2)</f>
        <v>37</v>
      </c>
      <c r="C39" s="12" t="s">
        <v>11</v>
      </c>
      <c r="D39" s="7" t="s">
        <v>41</v>
      </c>
      <c r="E39" s="7" t="s">
        <v>101</v>
      </c>
      <c r="F39" s="7" t="s">
        <v>163</v>
      </c>
      <c r="G39" s="8" t="s">
        <v>206</v>
      </c>
      <c r="H39" s="7" t="s">
        <v>259</v>
      </c>
      <c r="I39" s="8" t="s">
        <v>311</v>
      </c>
      <c r="J39" s="7">
        <v>2</v>
      </c>
      <c r="K39" s="7">
        <f t="shared" si="1"/>
        <v>10</v>
      </c>
      <c r="L39" s="25" t="s">
        <v>323</v>
      </c>
      <c r="M39" s="14">
        <v>2.1700000000000001E-2</v>
      </c>
      <c r="N39" s="31">
        <f t="shared" si="2"/>
        <v>0.217</v>
      </c>
      <c r="O39" s="7"/>
    </row>
    <row r="40" spans="1:15" ht="24.75" thickBot="1" x14ac:dyDescent="0.3">
      <c r="A40" s="1"/>
      <c r="B40" s="11">
        <f t="shared" si="0"/>
        <v>38</v>
      </c>
      <c r="C40" s="13" t="s">
        <v>11</v>
      </c>
      <c r="D40" s="9" t="s">
        <v>42</v>
      </c>
      <c r="E40" s="9" t="s">
        <v>102</v>
      </c>
      <c r="F40" s="9" t="s">
        <v>163</v>
      </c>
      <c r="G40" s="10" t="s">
        <v>207</v>
      </c>
      <c r="H40" s="9" t="s">
        <v>259</v>
      </c>
      <c r="I40" s="8" t="s">
        <v>311</v>
      </c>
      <c r="J40" s="9">
        <v>1</v>
      </c>
      <c r="K40" s="7">
        <f t="shared" si="1"/>
        <v>5</v>
      </c>
      <c r="L40" s="25" t="s">
        <v>323</v>
      </c>
      <c r="M40" s="14">
        <v>2.1999999999999999E-2</v>
      </c>
      <c r="N40" s="31">
        <f t="shared" si="2"/>
        <v>0.10999999999999999</v>
      </c>
      <c r="O40" s="9"/>
    </row>
    <row r="41" spans="1:15" ht="24.75" thickBot="1" x14ac:dyDescent="0.3">
      <c r="A41" s="1"/>
      <c r="B41" s="11">
        <f>ROW(B41) - ROW($B$2)</f>
        <v>39</v>
      </c>
      <c r="C41" s="12" t="s">
        <v>11</v>
      </c>
      <c r="D41" s="7" t="s">
        <v>380</v>
      </c>
      <c r="E41" s="7" t="s">
        <v>103</v>
      </c>
      <c r="F41" s="7" t="s">
        <v>163</v>
      </c>
      <c r="G41" s="8" t="s">
        <v>208</v>
      </c>
      <c r="H41" s="7" t="s">
        <v>259</v>
      </c>
      <c r="I41" s="8" t="s">
        <v>311</v>
      </c>
      <c r="J41" s="7">
        <v>1</v>
      </c>
      <c r="K41" s="7">
        <f t="shared" si="1"/>
        <v>5</v>
      </c>
      <c r="L41" s="25" t="s">
        <v>323</v>
      </c>
      <c r="M41" s="14">
        <v>3.1300000000000001E-2</v>
      </c>
      <c r="N41" s="31">
        <f t="shared" si="2"/>
        <v>0.1565</v>
      </c>
      <c r="O41" s="7"/>
    </row>
    <row r="42" spans="1:15" ht="15.75" thickBot="1" x14ac:dyDescent="0.3">
      <c r="A42" s="1"/>
      <c r="B42" s="11">
        <f t="shared" si="0"/>
        <v>40</v>
      </c>
      <c r="C42" s="13" t="s">
        <v>12</v>
      </c>
      <c r="D42" s="9" t="s">
        <v>43</v>
      </c>
      <c r="E42" s="9" t="s">
        <v>104</v>
      </c>
      <c r="F42" s="9" t="s">
        <v>164</v>
      </c>
      <c r="G42" s="10" t="s">
        <v>209</v>
      </c>
      <c r="H42" s="9" t="s">
        <v>260</v>
      </c>
      <c r="I42" s="8" t="s">
        <v>311</v>
      </c>
      <c r="J42" s="9">
        <v>1</v>
      </c>
      <c r="K42" s="7">
        <f t="shared" si="1"/>
        <v>5</v>
      </c>
      <c r="L42" s="25" t="s">
        <v>312</v>
      </c>
      <c r="M42" s="14">
        <v>1.0900000000000001</v>
      </c>
      <c r="N42" s="31">
        <f t="shared" si="2"/>
        <v>5.45</v>
      </c>
      <c r="O42" s="9"/>
    </row>
    <row r="43" spans="1:15" ht="15.75" thickBot="1" x14ac:dyDescent="0.3">
      <c r="A43" s="1"/>
      <c r="B43" s="11">
        <f>ROW(B43) - ROW($B$2)</f>
        <v>41</v>
      </c>
      <c r="C43" s="12" t="s">
        <v>13</v>
      </c>
      <c r="D43" s="7" t="s">
        <v>44</v>
      </c>
      <c r="E43" s="7" t="s">
        <v>105</v>
      </c>
      <c r="F43" s="7" t="s">
        <v>165</v>
      </c>
      <c r="G43" s="8" t="s">
        <v>210</v>
      </c>
      <c r="H43" s="7" t="s">
        <v>260</v>
      </c>
      <c r="I43" s="8" t="s">
        <v>311</v>
      </c>
      <c r="J43" s="7">
        <v>1</v>
      </c>
      <c r="K43" s="7">
        <f t="shared" si="1"/>
        <v>5</v>
      </c>
      <c r="L43" s="25" t="s">
        <v>312</v>
      </c>
      <c r="M43" s="14">
        <v>1.0900000000000001</v>
      </c>
      <c r="N43" s="31">
        <f t="shared" si="2"/>
        <v>5.45</v>
      </c>
      <c r="O43" s="7"/>
    </row>
    <row r="44" spans="1:15" ht="36.75" thickBot="1" x14ac:dyDescent="0.3">
      <c r="A44" s="1"/>
      <c r="B44" s="11">
        <f t="shared" si="0"/>
        <v>42</v>
      </c>
      <c r="C44" s="12" t="s">
        <v>13</v>
      </c>
      <c r="D44" s="9" t="s">
        <v>45</v>
      </c>
      <c r="E44" s="9" t="s">
        <v>106</v>
      </c>
      <c r="F44" s="9" t="s">
        <v>157</v>
      </c>
      <c r="G44" s="10" t="s">
        <v>211</v>
      </c>
      <c r="H44" s="9" t="s">
        <v>261</v>
      </c>
      <c r="I44" s="8" t="s">
        <v>311</v>
      </c>
      <c r="J44" s="9">
        <v>2</v>
      </c>
      <c r="K44" s="7">
        <f t="shared" si="1"/>
        <v>10</v>
      </c>
      <c r="L44" s="25" t="s">
        <v>312</v>
      </c>
      <c r="M44" s="14">
        <v>0.2</v>
      </c>
      <c r="N44" s="31">
        <f t="shared" si="2"/>
        <v>2</v>
      </c>
      <c r="O44" s="9"/>
    </row>
    <row r="45" spans="1:15" ht="15.75" thickBot="1" x14ac:dyDescent="0.3">
      <c r="A45" s="1"/>
      <c r="B45" s="11">
        <f t="shared" si="0"/>
        <v>43</v>
      </c>
      <c r="C45" s="13" t="s">
        <v>14</v>
      </c>
      <c r="D45" s="9" t="s">
        <v>46</v>
      </c>
      <c r="E45" s="9" t="s">
        <v>107</v>
      </c>
      <c r="F45" s="9" t="s">
        <v>166</v>
      </c>
      <c r="G45" s="10" t="s">
        <v>212</v>
      </c>
      <c r="H45" s="9" t="s">
        <v>247</v>
      </c>
      <c r="I45" s="10" t="s">
        <v>285</v>
      </c>
      <c r="J45" s="9">
        <v>1</v>
      </c>
      <c r="K45" s="7">
        <f t="shared" si="1"/>
        <v>5</v>
      </c>
      <c r="L45" s="25" t="s">
        <v>312</v>
      </c>
      <c r="M45" s="14">
        <v>0.15</v>
      </c>
      <c r="N45" s="31">
        <f t="shared" si="2"/>
        <v>0.75</v>
      </c>
      <c r="O45" s="9"/>
    </row>
    <row r="46" spans="1:15" ht="15.75" thickBot="1" x14ac:dyDescent="0.3">
      <c r="A46" s="1"/>
      <c r="B46" s="11">
        <f>ROW(B46) - ROW($B$2)</f>
        <v>44</v>
      </c>
      <c r="C46" s="12" t="s">
        <v>14</v>
      </c>
      <c r="D46" s="7" t="s">
        <v>381</v>
      </c>
      <c r="E46" s="7" t="s">
        <v>108</v>
      </c>
      <c r="F46" s="7" t="s">
        <v>167</v>
      </c>
      <c r="G46" s="8" t="s">
        <v>213</v>
      </c>
      <c r="H46" s="7" t="s">
        <v>247</v>
      </c>
      <c r="I46" s="8" t="s">
        <v>286</v>
      </c>
      <c r="J46" s="7">
        <v>1</v>
      </c>
      <c r="K46" s="7">
        <f t="shared" si="1"/>
        <v>5</v>
      </c>
      <c r="L46" s="25" t="s">
        <v>312</v>
      </c>
      <c r="M46" s="14">
        <v>0.1</v>
      </c>
      <c r="N46" s="31">
        <f t="shared" si="2"/>
        <v>0.5</v>
      </c>
      <c r="O46" s="7"/>
    </row>
    <row r="47" spans="1:15" ht="15.75" thickBot="1" x14ac:dyDescent="0.3">
      <c r="A47" s="1"/>
      <c r="B47" s="11">
        <f t="shared" si="0"/>
        <v>45</v>
      </c>
      <c r="C47" s="13" t="s">
        <v>14</v>
      </c>
      <c r="D47" s="9" t="s">
        <v>47</v>
      </c>
      <c r="E47" s="9" t="s">
        <v>109</v>
      </c>
      <c r="F47" s="9" t="s">
        <v>166</v>
      </c>
      <c r="G47" s="10" t="s">
        <v>214</v>
      </c>
      <c r="H47" s="9" t="s">
        <v>247</v>
      </c>
      <c r="I47" s="10" t="s">
        <v>287</v>
      </c>
      <c r="J47" s="9">
        <v>1</v>
      </c>
      <c r="K47" s="7">
        <f t="shared" si="1"/>
        <v>5</v>
      </c>
      <c r="L47" s="25" t="s">
        <v>312</v>
      </c>
      <c r="M47" s="14">
        <v>0.15</v>
      </c>
      <c r="N47" s="31">
        <f t="shared" si="2"/>
        <v>0.75</v>
      </c>
      <c r="O47" s="9"/>
    </row>
    <row r="48" spans="1:15" ht="15.75" thickBot="1" x14ac:dyDescent="0.3">
      <c r="A48" s="1"/>
      <c r="B48" s="11">
        <f>ROW(B48) - ROW($B$2)</f>
        <v>46</v>
      </c>
      <c r="C48" s="12" t="s">
        <v>14</v>
      </c>
      <c r="D48" s="7" t="s">
        <v>48</v>
      </c>
      <c r="E48" s="7" t="s">
        <v>110</v>
      </c>
      <c r="F48" s="7" t="s">
        <v>167</v>
      </c>
      <c r="G48" s="8" t="s">
        <v>215</v>
      </c>
      <c r="H48" s="7" t="s">
        <v>247</v>
      </c>
      <c r="I48" s="8" t="s">
        <v>288</v>
      </c>
      <c r="J48" s="7">
        <v>1</v>
      </c>
      <c r="K48" s="7">
        <f t="shared" si="1"/>
        <v>5</v>
      </c>
      <c r="L48" s="25" t="s">
        <v>312</v>
      </c>
      <c r="M48" s="14">
        <v>0.13</v>
      </c>
      <c r="N48" s="31">
        <f t="shared" si="2"/>
        <v>0.65</v>
      </c>
      <c r="O48" s="7"/>
    </row>
    <row r="49" spans="1:15" ht="15.75" thickBot="1" x14ac:dyDescent="0.3">
      <c r="A49" s="1"/>
      <c r="B49" s="11">
        <f t="shared" si="0"/>
        <v>47</v>
      </c>
      <c r="C49" s="13" t="s">
        <v>14</v>
      </c>
      <c r="D49" s="9" t="s">
        <v>49</v>
      </c>
      <c r="E49" s="9" t="s">
        <v>111</v>
      </c>
      <c r="F49" s="9" t="s">
        <v>168</v>
      </c>
      <c r="G49" s="10" t="s">
        <v>216</v>
      </c>
      <c r="H49" s="9" t="s">
        <v>255</v>
      </c>
      <c r="I49" s="10" t="s">
        <v>289</v>
      </c>
      <c r="J49" s="9">
        <v>1</v>
      </c>
      <c r="K49" s="7">
        <f t="shared" si="1"/>
        <v>5</v>
      </c>
      <c r="L49" s="25" t="s">
        <v>312</v>
      </c>
      <c r="M49" s="14">
        <v>0.64</v>
      </c>
      <c r="N49" s="31">
        <f t="shared" si="2"/>
        <v>3.2</v>
      </c>
      <c r="O49" s="9"/>
    </row>
    <row r="50" spans="1:15" ht="15.75" thickBot="1" x14ac:dyDescent="0.3">
      <c r="A50" s="1"/>
      <c r="B50" s="11">
        <f>ROW(B50) - ROW($B$2)</f>
        <v>48</v>
      </c>
      <c r="C50" s="12" t="s">
        <v>14</v>
      </c>
      <c r="D50" s="7" t="s">
        <v>50</v>
      </c>
      <c r="E50" s="7" t="s">
        <v>112</v>
      </c>
      <c r="F50" s="7" t="s">
        <v>166</v>
      </c>
      <c r="G50" s="8" t="s">
        <v>217</v>
      </c>
      <c r="H50" s="7" t="s">
        <v>247</v>
      </c>
      <c r="I50" s="8" t="s">
        <v>290</v>
      </c>
      <c r="J50" s="7">
        <v>1</v>
      </c>
      <c r="K50" s="7">
        <f t="shared" si="1"/>
        <v>5</v>
      </c>
      <c r="L50" s="25" t="s">
        <v>312</v>
      </c>
      <c r="M50" s="14">
        <v>0.15</v>
      </c>
      <c r="N50" s="31">
        <f t="shared" si="2"/>
        <v>0.75</v>
      </c>
      <c r="O50" s="7"/>
    </row>
    <row r="51" spans="1:15" ht="15.75" thickBot="1" x14ac:dyDescent="0.3">
      <c r="A51" s="1"/>
      <c r="B51" s="11">
        <f t="shared" si="0"/>
        <v>49</v>
      </c>
      <c r="C51" s="13" t="s">
        <v>14</v>
      </c>
      <c r="D51" s="9" t="s">
        <v>51</v>
      </c>
      <c r="E51" s="9" t="s">
        <v>113</v>
      </c>
      <c r="F51" s="9" t="s">
        <v>166</v>
      </c>
      <c r="G51" s="10" t="s">
        <v>218</v>
      </c>
      <c r="H51" s="9" t="s">
        <v>247</v>
      </c>
      <c r="I51" s="10" t="s">
        <v>291</v>
      </c>
      <c r="J51" s="9">
        <v>1</v>
      </c>
      <c r="K51" s="7">
        <f t="shared" si="1"/>
        <v>5</v>
      </c>
      <c r="L51" s="25" t="s">
        <v>312</v>
      </c>
      <c r="M51" s="14">
        <v>0.15</v>
      </c>
      <c r="N51" s="31">
        <f t="shared" si="2"/>
        <v>0.75</v>
      </c>
      <c r="O51" s="9"/>
    </row>
    <row r="52" spans="1:15" ht="15.75" thickBot="1" x14ac:dyDescent="0.3">
      <c r="A52" s="1"/>
      <c r="B52" s="11">
        <f>ROW(B52) - ROW($B$2)</f>
        <v>50</v>
      </c>
      <c r="C52" s="12" t="s">
        <v>14</v>
      </c>
      <c r="D52" s="7" t="s">
        <v>52</v>
      </c>
      <c r="E52" s="7" t="s">
        <v>114</v>
      </c>
      <c r="F52" s="7" t="s">
        <v>166</v>
      </c>
      <c r="G52" s="8" t="s">
        <v>219</v>
      </c>
      <c r="H52" s="7" t="s">
        <v>247</v>
      </c>
      <c r="I52" s="8" t="s">
        <v>292</v>
      </c>
      <c r="J52" s="7">
        <v>1</v>
      </c>
      <c r="K52" s="7">
        <f t="shared" si="1"/>
        <v>5</v>
      </c>
      <c r="L52" s="25" t="s">
        <v>312</v>
      </c>
      <c r="M52" s="14">
        <v>0.15</v>
      </c>
      <c r="N52" s="31">
        <f t="shared" si="2"/>
        <v>0.75</v>
      </c>
      <c r="O52" s="7"/>
    </row>
    <row r="53" spans="1:15" ht="15.75" thickBot="1" x14ac:dyDescent="0.3">
      <c r="A53" s="1"/>
      <c r="B53" s="11">
        <f t="shared" si="0"/>
        <v>51</v>
      </c>
      <c r="C53" s="13" t="s">
        <v>14</v>
      </c>
      <c r="D53" s="9" t="s">
        <v>53</v>
      </c>
      <c r="E53" s="9" t="s">
        <v>115</v>
      </c>
      <c r="F53" s="9" t="s">
        <v>166</v>
      </c>
      <c r="G53" s="10" t="s">
        <v>220</v>
      </c>
      <c r="H53" s="9" t="s">
        <v>247</v>
      </c>
      <c r="I53" s="10" t="s">
        <v>293</v>
      </c>
      <c r="J53" s="9">
        <v>1</v>
      </c>
      <c r="K53" s="7">
        <f t="shared" si="1"/>
        <v>5</v>
      </c>
      <c r="L53" s="25" t="s">
        <v>312</v>
      </c>
      <c r="M53" s="14">
        <v>0.15</v>
      </c>
      <c r="N53" s="31">
        <f t="shared" si="2"/>
        <v>0.75</v>
      </c>
      <c r="O53" s="9"/>
    </row>
    <row r="54" spans="1:15" ht="15.75" thickBot="1" x14ac:dyDescent="0.3">
      <c r="A54" s="1"/>
      <c r="B54" s="11">
        <f>ROW(B54) - ROW($B$2)</f>
        <v>52</v>
      </c>
      <c r="C54" s="13" t="s">
        <v>14</v>
      </c>
      <c r="D54" s="7" t="s">
        <v>54</v>
      </c>
      <c r="E54" s="7" t="s">
        <v>116</v>
      </c>
      <c r="F54" s="7" t="s">
        <v>166</v>
      </c>
      <c r="G54" s="8" t="s">
        <v>221</v>
      </c>
      <c r="H54" s="7" t="s">
        <v>247</v>
      </c>
      <c r="I54" s="8" t="s">
        <v>294</v>
      </c>
      <c r="J54" s="7">
        <v>1</v>
      </c>
      <c r="K54" s="7">
        <f t="shared" si="1"/>
        <v>5</v>
      </c>
      <c r="L54" s="25" t="s">
        <v>312</v>
      </c>
      <c r="M54" s="14">
        <v>0.1</v>
      </c>
      <c r="N54" s="31">
        <f t="shared" si="2"/>
        <v>0.5</v>
      </c>
      <c r="O54" s="7"/>
    </row>
    <row r="55" spans="1:15" ht="15.75" thickBot="1" x14ac:dyDescent="0.3">
      <c r="A55" s="1"/>
      <c r="B55" s="11">
        <f t="shared" si="0"/>
        <v>53</v>
      </c>
      <c r="C55" s="13" t="s">
        <v>14</v>
      </c>
      <c r="D55" s="7" t="s">
        <v>382</v>
      </c>
      <c r="E55" s="9" t="s">
        <v>117</v>
      </c>
      <c r="F55" s="9" t="s">
        <v>166</v>
      </c>
      <c r="G55" s="10" t="s">
        <v>222</v>
      </c>
      <c r="H55" s="9" t="s">
        <v>247</v>
      </c>
      <c r="I55" s="10" t="s">
        <v>295</v>
      </c>
      <c r="J55" s="9">
        <v>5</v>
      </c>
      <c r="K55" s="7">
        <f t="shared" si="1"/>
        <v>25</v>
      </c>
      <c r="L55" s="25" t="s">
        <v>312</v>
      </c>
      <c r="M55" s="14">
        <v>1.4999999999999999E-2</v>
      </c>
      <c r="N55" s="31">
        <f t="shared" si="2"/>
        <v>0.375</v>
      </c>
      <c r="O55" s="9"/>
    </row>
    <row r="56" spans="1:15" ht="15.75" thickBot="1" x14ac:dyDescent="0.3">
      <c r="A56" s="1"/>
      <c r="B56" s="11">
        <f>ROW(B56) - ROW($B$2)</f>
        <v>54</v>
      </c>
      <c r="C56" s="12" t="s">
        <v>14</v>
      </c>
      <c r="D56" s="7" t="s">
        <v>55</v>
      </c>
      <c r="E56" s="7" t="s">
        <v>118</v>
      </c>
      <c r="F56" s="7" t="s">
        <v>166</v>
      </c>
      <c r="G56" s="8" t="s">
        <v>223</v>
      </c>
      <c r="H56" s="7" t="s">
        <v>247</v>
      </c>
      <c r="I56" s="8" t="s">
        <v>296</v>
      </c>
      <c r="J56" s="7">
        <v>1</v>
      </c>
      <c r="K56" s="7">
        <f t="shared" si="1"/>
        <v>5</v>
      </c>
      <c r="L56" s="25" t="s">
        <v>312</v>
      </c>
      <c r="M56" s="14">
        <v>0.1</v>
      </c>
      <c r="N56" s="31">
        <f t="shared" si="2"/>
        <v>0.5</v>
      </c>
      <c r="O56" s="7"/>
    </row>
    <row r="57" spans="1:15" ht="15.75" thickBot="1" x14ac:dyDescent="0.3">
      <c r="A57" s="1"/>
      <c r="B57" s="11">
        <f t="shared" si="0"/>
        <v>55</v>
      </c>
      <c r="C57" s="12" t="s">
        <v>14</v>
      </c>
      <c r="D57" s="9" t="s">
        <v>56</v>
      </c>
      <c r="E57" s="9" t="s">
        <v>119</v>
      </c>
      <c r="F57" s="9" t="s">
        <v>166</v>
      </c>
      <c r="G57" s="10" t="s">
        <v>224</v>
      </c>
      <c r="H57" s="9" t="s">
        <v>247</v>
      </c>
      <c r="I57" s="10" t="s">
        <v>297</v>
      </c>
      <c r="J57" s="9">
        <v>1</v>
      </c>
      <c r="K57" s="7">
        <f t="shared" si="1"/>
        <v>5</v>
      </c>
      <c r="L57" s="25" t="s">
        <v>312</v>
      </c>
      <c r="M57" s="14">
        <v>0.1</v>
      </c>
      <c r="N57" s="31">
        <f t="shared" si="2"/>
        <v>0.5</v>
      </c>
      <c r="O57" s="9"/>
    </row>
    <row r="58" spans="1:15" ht="15.75" thickBot="1" x14ac:dyDescent="0.3">
      <c r="A58" s="1"/>
      <c r="B58" s="11">
        <f>ROW(B58) - ROW($B$2)</f>
        <v>56</v>
      </c>
      <c r="C58" s="12" t="s">
        <v>14</v>
      </c>
      <c r="D58" s="9" t="s">
        <v>337</v>
      </c>
      <c r="E58" s="7" t="s">
        <v>120</v>
      </c>
      <c r="F58" s="7" t="s">
        <v>166</v>
      </c>
      <c r="G58" s="8" t="s">
        <v>225</v>
      </c>
      <c r="H58" s="7" t="s">
        <v>247</v>
      </c>
      <c r="I58" s="8" t="s">
        <v>298</v>
      </c>
      <c r="J58" s="7">
        <v>1</v>
      </c>
      <c r="K58" s="7">
        <f t="shared" si="1"/>
        <v>5</v>
      </c>
      <c r="L58" s="25" t="s">
        <v>312</v>
      </c>
      <c r="M58" s="14">
        <v>1.4999999999999999E-2</v>
      </c>
      <c r="N58" s="31">
        <f t="shared" si="2"/>
        <v>7.4999999999999997E-2</v>
      </c>
      <c r="O58" s="7"/>
    </row>
    <row r="59" spans="1:15" ht="15.75" thickBot="1" x14ac:dyDescent="0.3">
      <c r="A59" s="1"/>
      <c r="B59" s="11">
        <f t="shared" si="0"/>
        <v>57</v>
      </c>
      <c r="C59" s="13" t="s">
        <v>14</v>
      </c>
      <c r="D59" s="9" t="s">
        <v>57</v>
      </c>
      <c r="E59" s="9" t="s">
        <v>121</v>
      </c>
      <c r="F59" s="9" t="s">
        <v>166</v>
      </c>
      <c r="G59" s="10" t="s">
        <v>320</v>
      </c>
      <c r="H59" s="9" t="s">
        <v>321</v>
      </c>
      <c r="I59" s="10" t="s">
        <v>299</v>
      </c>
      <c r="J59" s="9">
        <v>1</v>
      </c>
      <c r="K59" s="7">
        <f t="shared" si="1"/>
        <v>5</v>
      </c>
      <c r="L59" s="25" t="s">
        <v>312</v>
      </c>
      <c r="M59" s="14">
        <v>0.1</v>
      </c>
      <c r="N59" s="31">
        <f t="shared" si="2"/>
        <v>0.5</v>
      </c>
      <c r="O59" s="9"/>
    </row>
    <row r="60" spans="1:15" ht="15.75" thickBot="1" x14ac:dyDescent="0.3">
      <c r="A60" s="1"/>
      <c r="B60" s="11">
        <f>ROW(B60) - ROW($B$2)</f>
        <v>58</v>
      </c>
      <c r="C60" s="13" t="s">
        <v>14</v>
      </c>
      <c r="D60" s="9" t="s">
        <v>383</v>
      </c>
      <c r="E60" s="9" t="s">
        <v>122</v>
      </c>
      <c r="F60" s="9" t="s">
        <v>167</v>
      </c>
      <c r="G60" s="10" t="s">
        <v>226</v>
      </c>
      <c r="H60" s="9" t="s">
        <v>247</v>
      </c>
      <c r="I60" s="10" t="s">
        <v>300</v>
      </c>
      <c r="J60" s="9">
        <v>1</v>
      </c>
      <c r="K60" s="7">
        <f>J60*5</f>
        <v>5</v>
      </c>
      <c r="L60" s="25" t="s">
        <v>312</v>
      </c>
      <c r="M60" s="14">
        <v>0.1</v>
      </c>
      <c r="N60" s="31">
        <f>M60*K60</f>
        <v>0.5</v>
      </c>
      <c r="O60" s="9"/>
    </row>
    <row r="61" spans="1:15" ht="15.75" thickBot="1" x14ac:dyDescent="0.3">
      <c r="A61" s="1"/>
      <c r="B61" s="11">
        <f>ROW(B61) - ROW($B$2)</f>
        <v>59</v>
      </c>
      <c r="C61" s="12" t="s">
        <v>14</v>
      </c>
      <c r="D61" s="7" t="s">
        <v>384</v>
      </c>
      <c r="E61" s="7" t="s">
        <v>123</v>
      </c>
      <c r="F61" s="7" t="s">
        <v>166</v>
      </c>
      <c r="G61" s="8" t="s">
        <v>227</v>
      </c>
      <c r="H61" s="7" t="s">
        <v>247</v>
      </c>
      <c r="I61" s="8" t="s">
        <v>293</v>
      </c>
      <c r="J61" s="7">
        <v>6</v>
      </c>
      <c r="K61" s="7">
        <f>J61*5</f>
        <v>30</v>
      </c>
      <c r="L61" s="25" t="s">
        <v>312</v>
      </c>
      <c r="M61" s="14">
        <v>1.4999999999999999E-2</v>
      </c>
      <c r="N61" s="31">
        <f>M61*K61</f>
        <v>0.44999999999999996</v>
      </c>
      <c r="O61" s="7"/>
    </row>
    <row r="62" spans="1:15" ht="15.75" thickBot="1" x14ac:dyDescent="0.3">
      <c r="A62" s="1"/>
      <c r="B62" s="11">
        <f>ROW(B62) - ROW($B$2)</f>
        <v>60</v>
      </c>
      <c r="C62" s="13" t="s">
        <v>14</v>
      </c>
      <c r="D62" s="9" t="s">
        <v>385</v>
      </c>
      <c r="E62" s="9" t="s">
        <v>124</v>
      </c>
      <c r="F62" s="9" t="s">
        <v>167</v>
      </c>
      <c r="G62" s="10" t="s">
        <v>228</v>
      </c>
      <c r="H62" s="9" t="s">
        <v>247</v>
      </c>
      <c r="I62" s="10" t="s">
        <v>301</v>
      </c>
      <c r="J62" s="9">
        <v>2</v>
      </c>
      <c r="K62" s="7">
        <f>J62*5</f>
        <v>10</v>
      </c>
      <c r="L62" s="25" t="s">
        <v>312</v>
      </c>
      <c r="M62" s="14">
        <v>1.9E-2</v>
      </c>
      <c r="N62" s="31">
        <f>M62*K62</f>
        <v>0.19</v>
      </c>
      <c r="O62" s="9"/>
    </row>
    <row r="63" spans="1:15" ht="15.75" thickBot="1" x14ac:dyDescent="0.3">
      <c r="A63" s="1"/>
      <c r="B63" s="11">
        <f>ROW(B63) - ROW($B$2)</f>
        <v>61</v>
      </c>
      <c r="C63" s="12" t="s">
        <v>14</v>
      </c>
      <c r="D63" s="7" t="s">
        <v>386</v>
      </c>
      <c r="E63" s="7" t="s">
        <v>125</v>
      </c>
      <c r="F63" s="7" t="s">
        <v>167</v>
      </c>
      <c r="G63" s="8" t="s">
        <v>229</v>
      </c>
      <c r="H63" s="7" t="s">
        <v>247</v>
      </c>
      <c r="I63" s="8" t="s">
        <v>302</v>
      </c>
      <c r="J63" s="7">
        <v>1</v>
      </c>
      <c r="K63" s="7">
        <f t="shared" ref="K63:K91" si="4">J63*5</f>
        <v>5</v>
      </c>
      <c r="L63" s="25" t="s">
        <v>312</v>
      </c>
      <c r="M63" s="14">
        <v>0.1</v>
      </c>
      <c r="N63" s="31">
        <f t="shared" si="2"/>
        <v>0.5</v>
      </c>
      <c r="O63" s="7"/>
    </row>
    <row r="64" spans="1:15" ht="15.75" thickBot="1" x14ac:dyDescent="0.3">
      <c r="A64" s="1"/>
      <c r="B64" s="11">
        <f t="shared" si="0"/>
        <v>62</v>
      </c>
      <c r="C64" s="13" t="s">
        <v>14</v>
      </c>
      <c r="D64" s="9" t="s">
        <v>387</v>
      </c>
      <c r="E64" s="9" t="s">
        <v>126</v>
      </c>
      <c r="F64" s="9" t="s">
        <v>167</v>
      </c>
      <c r="G64" s="10" t="s">
        <v>230</v>
      </c>
      <c r="H64" s="9" t="s">
        <v>247</v>
      </c>
      <c r="I64" s="10" t="s">
        <v>303</v>
      </c>
      <c r="J64" s="9">
        <v>1</v>
      </c>
      <c r="K64" s="7">
        <f t="shared" si="4"/>
        <v>5</v>
      </c>
      <c r="L64" s="25" t="s">
        <v>312</v>
      </c>
      <c r="M64" s="14">
        <v>0.1</v>
      </c>
      <c r="N64" s="31">
        <f t="shared" si="2"/>
        <v>0.5</v>
      </c>
      <c r="O64" s="9"/>
    </row>
    <row r="65" spans="1:15" ht="15.75" thickBot="1" x14ac:dyDescent="0.3">
      <c r="A65" s="1"/>
      <c r="B65" s="11">
        <f t="shared" si="0"/>
        <v>63</v>
      </c>
      <c r="C65" s="13" t="s">
        <v>14</v>
      </c>
      <c r="D65" s="7" t="s">
        <v>388</v>
      </c>
      <c r="E65" s="9" t="s">
        <v>339</v>
      </c>
      <c r="F65" s="9" t="s">
        <v>167</v>
      </c>
      <c r="G65" s="10" t="s">
        <v>334</v>
      </c>
      <c r="H65" s="9" t="s">
        <v>247</v>
      </c>
      <c r="I65" s="10" t="s">
        <v>298</v>
      </c>
      <c r="J65" s="9">
        <v>1</v>
      </c>
      <c r="K65" s="7">
        <f t="shared" si="4"/>
        <v>5</v>
      </c>
      <c r="L65" s="25" t="s">
        <v>312</v>
      </c>
      <c r="M65" s="14">
        <v>0.14000000000000001</v>
      </c>
      <c r="N65" s="31">
        <f t="shared" si="2"/>
        <v>0.70000000000000007</v>
      </c>
      <c r="O65" s="7"/>
    </row>
    <row r="66" spans="1:15" ht="15.75" thickBot="1" x14ac:dyDescent="0.3">
      <c r="A66" s="1"/>
      <c r="B66" s="11">
        <f>ROW(B66) - ROW($B$2)</f>
        <v>64</v>
      </c>
      <c r="C66" s="13" t="s">
        <v>14</v>
      </c>
      <c r="D66" s="9" t="s">
        <v>389</v>
      </c>
      <c r="E66" s="9" t="s">
        <v>128</v>
      </c>
      <c r="F66" s="9" t="s">
        <v>166</v>
      </c>
      <c r="G66" s="10" t="s">
        <v>232</v>
      </c>
      <c r="H66" s="9" t="s">
        <v>247</v>
      </c>
      <c r="I66" s="10" t="s">
        <v>305</v>
      </c>
      <c r="J66" s="9">
        <v>2</v>
      </c>
      <c r="K66" s="7">
        <f>J66*5</f>
        <v>10</v>
      </c>
      <c r="L66" s="25" t="s">
        <v>312</v>
      </c>
      <c r="M66" s="14">
        <v>0.1</v>
      </c>
      <c r="N66" s="31">
        <f>M66*K66</f>
        <v>1</v>
      </c>
      <c r="O66" s="9"/>
    </row>
    <row r="67" spans="1:15" ht="15.75" thickBot="1" x14ac:dyDescent="0.3">
      <c r="A67" s="1"/>
      <c r="B67" s="11">
        <f t="shared" si="0"/>
        <v>65</v>
      </c>
      <c r="C67" s="12" t="s">
        <v>14</v>
      </c>
      <c r="D67" s="7" t="s">
        <v>338</v>
      </c>
      <c r="E67" s="7" t="s">
        <v>340</v>
      </c>
      <c r="F67" s="7" t="s">
        <v>167</v>
      </c>
      <c r="G67" s="8" t="s">
        <v>335</v>
      </c>
      <c r="H67" s="7" t="s">
        <v>247</v>
      </c>
      <c r="I67" s="8" t="s">
        <v>341</v>
      </c>
      <c r="J67" s="7">
        <v>1</v>
      </c>
      <c r="K67" s="7">
        <f t="shared" si="4"/>
        <v>5</v>
      </c>
      <c r="L67" s="25" t="s">
        <v>312</v>
      </c>
      <c r="M67" s="14">
        <v>0.1</v>
      </c>
      <c r="N67" s="31">
        <f t="shared" si="2"/>
        <v>0.5</v>
      </c>
      <c r="O67" s="7"/>
    </row>
    <row r="68" spans="1:15" ht="15.75" thickBot="1" x14ac:dyDescent="0.3">
      <c r="A68" s="1"/>
      <c r="B68" s="11">
        <f>ROW(B68) - ROW($B$2)</f>
        <v>66</v>
      </c>
      <c r="C68" s="12" t="s">
        <v>14</v>
      </c>
      <c r="D68" s="9" t="s">
        <v>390</v>
      </c>
      <c r="E68" s="7" t="s">
        <v>127</v>
      </c>
      <c r="F68" s="7" t="s">
        <v>169</v>
      </c>
      <c r="G68" s="8" t="s">
        <v>231</v>
      </c>
      <c r="H68" s="7" t="s">
        <v>247</v>
      </c>
      <c r="I68" s="8" t="s">
        <v>304</v>
      </c>
      <c r="J68" s="7">
        <v>2</v>
      </c>
      <c r="K68" s="7">
        <f t="shared" si="4"/>
        <v>10</v>
      </c>
      <c r="L68" s="25" t="s">
        <v>312</v>
      </c>
      <c r="M68" s="14">
        <v>9.4030000000000002E-2</v>
      </c>
      <c r="N68" s="31">
        <f t="shared" si="2"/>
        <v>0.94030000000000002</v>
      </c>
      <c r="O68" s="7"/>
    </row>
    <row r="69" spans="1:15" ht="15.75" thickBot="1" x14ac:dyDescent="0.3">
      <c r="A69" s="1"/>
      <c r="B69" s="11">
        <f>ROW(B69) - ROW($B$2)</f>
        <v>67</v>
      </c>
      <c r="C69" s="12" t="s">
        <v>14</v>
      </c>
      <c r="D69" s="7" t="s">
        <v>391</v>
      </c>
      <c r="E69" s="7" t="s">
        <v>332</v>
      </c>
      <c r="F69" s="7" t="s">
        <v>166</v>
      </c>
      <c r="G69" s="8" t="s">
        <v>328</v>
      </c>
      <c r="H69" s="7" t="s">
        <v>247</v>
      </c>
      <c r="I69" s="8" t="s">
        <v>333</v>
      </c>
      <c r="J69" s="7">
        <v>2</v>
      </c>
      <c r="K69" s="7">
        <f>J69*5</f>
        <v>10</v>
      </c>
      <c r="L69" s="25" t="s">
        <v>312</v>
      </c>
      <c r="M69" s="14">
        <v>1.0999999999999999E-2</v>
      </c>
      <c r="N69" s="31">
        <f>M69*K69</f>
        <v>0.10999999999999999</v>
      </c>
      <c r="O69" s="7"/>
    </row>
    <row r="70" spans="1:15" ht="15.75" thickBot="1" x14ac:dyDescent="0.3">
      <c r="A70" s="1"/>
      <c r="B70" s="11">
        <f t="shared" si="0"/>
        <v>68</v>
      </c>
      <c r="C70" s="12" t="s">
        <v>14</v>
      </c>
      <c r="D70" s="9" t="s">
        <v>392</v>
      </c>
      <c r="E70" s="9" t="s">
        <v>129</v>
      </c>
      <c r="F70" s="9" t="s">
        <v>167</v>
      </c>
      <c r="G70" s="10" t="s">
        <v>233</v>
      </c>
      <c r="H70" s="9" t="s">
        <v>247</v>
      </c>
      <c r="I70" s="10" t="s">
        <v>306</v>
      </c>
      <c r="J70" s="9">
        <v>4</v>
      </c>
      <c r="K70" s="7">
        <f t="shared" si="4"/>
        <v>20</v>
      </c>
      <c r="L70" s="25" t="s">
        <v>312</v>
      </c>
      <c r="M70" s="14">
        <v>1.9E-2</v>
      </c>
      <c r="N70" s="31">
        <f t="shared" ref="N70:N91" si="5">M70*K70</f>
        <v>0.38</v>
      </c>
      <c r="O70" s="9"/>
    </row>
    <row r="71" spans="1:15" ht="15.75" thickBot="1" x14ac:dyDescent="0.3">
      <c r="A71" s="1"/>
      <c r="B71" s="11">
        <f t="shared" si="0"/>
        <v>69</v>
      </c>
      <c r="C71" s="13" t="s">
        <v>14</v>
      </c>
      <c r="D71" s="7" t="s">
        <v>393</v>
      </c>
      <c r="E71" s="10" t="s">
        <v>355</v>
      </c>
      <c r="F71" s="9" t="s">
        <v>166</v>
      </c>
      <c r="G71" s="10" t="s">
        <v>347</v>
      </c>
      <c r="H71" s="9" t="s">
        <v>247</v>
      </c>
      <c r="I71" s="10" t="s">
        <v>356</v>
      </c>
      <c r="J71" s="9">
        <v>4</v>
      </c>
      <c r="K71" s="7">
        <f t="shared" si="4"/>
        <v>20</v>
      </c>
      <c r="L71" s="25" t="s">
        <v>312</v>
      </c>
      <c r="M71" s="14">
        <v>0.16</v>
      </c>
      <c r="N71" s="31">
        <f t="shared" si="5"/>
        <v>3.2</v>
      </c>
      <c r="O71" s="7"/>
    </row>
    <row r="72" spans="1:15" ht="15.75" thickBot="1" x14ac:dyDescent="0.3">
      <c r="A72" s="1"/>
      <c r="B72" s="11">
        <f>ROW(B72) - ROW($B$2)</f>
        <v>70</v>
      </c>
      <c r="C72" s="12" t="s">
        <v>14</v>
      </c>
      <c r="D72" s="9" t="s">
        <v>394</v>
      </c>
      <c r="E72" s="8" t="s">
        <v>357</v>
      </c>
      <c r="F72" s="7" t="s">
        <v>166</v>
      </c>
      <c r="G72" s="8" t="s">
        <v>348</v>
      </c>
      <c r="H72" s="7" t="s">
        <v>247</v>
      </c>
      <c r="I72" s="8" t="s">
        <v>358</v>
      </c>
      <c r="J72" s="7">
        <v>8</v>
      </c>
      <c r="K72" s="7">
        <f t="shared" si="4"/>
        <v>40</v>
      </c>
      <c r="L72" s="25" t="s">
        <v>312</v>
      </c>
      <c r="M72" s="14">
        <v>0.16</v>
      </c>
      <c r="N72" s="31">
        <f t="shared" si="5"/>
        <v>6.4</v>
      </c>
      <c r="O72" s="7"/>
    </row>
    <row r="73" spans="1:15" ht="15.75" thickBot="1" x14ac:dyDescent="0.3">
      <c r="A73" s="1"/>
      <c r="B73" s="11">
        <f t="shared" si="0"/>
        <v>71</v>
      </c>
      <c r="C73" s="13" t="s">
        <v>14</v>
      </c>
      <c r="D73" s="7" t="s">
        <v>395</v>
      </c>
      <c r="E73" s="10" t="s">
        <v>359</v>
      </c>
      <c r="F73" s="9" t="s">
        <v>166</v>
      </c>
      <c r="G73" s="10" t="s">
        <v>349</v>
      </c>
      <c r="H73" s="9" t="s">
        <v>247</v>
      </c>
      <c r="I73" s="10" t="s">
        <v>300</v>
      </c>
      <c r="J73" s="9">
        <v>8</v>
      </c>
      <c r="K73" s="7">
        <f t="shared" si="4"/>
        <v>40</v>
      </c>
      <c r="L73" s="25" t="s">
        <v>312</v>
      </c>
      <c r="M73" s="14">
        <v>0.16</v>
      </c>
      <c r="N73" s="31">
        <f t="shared" si="5"/>
        <v>6.4</v>
      </c>
      <c r="O73" s="7"/>
    </row>
    <row r="74" spans="1:15" ht="15.75" thickBot="1" x14ac:dyDescent="0.3">
      <c r="A74" s="1"/>
      <c r="B74" s="11">
        <f t="shared" si="0"/>
        <v>72</v>
      </c>
      <c r="C74" s="13" t="s">
        <v>15</v>
      </c>
      <c r="D74" s="9" t="s">
        <v>58</v>
      </c>
      <c r="E74" s="9" t="s">
        <v>130</v>
      </c>
      <c r="F74" s="7" t="s">
        <v>316</v>
      </c>
      <c r="G74" s="10" t="s">
        <v>170</v>
      </c>
      <c r="H74" s="9" t="s">
        <v>262</v>
      </c>
      <c r="I74" s="8" t="s">
        <v>311</v>
      </c>
      <c r="J74" s="9">
        <v>2</v>
      </c>
      <c r="K74" s="7">
        <f t="shared" si="4"/>
        <v>10</v>
      </c>
      <c r="L74" s="25" t="s">
        <v>312</v>
      </c>
      <c r="M74" s="14">
        <v>0.98299999999999998</v>
      </c>
      <c r="N74" s="31">
        <f t="shared" si="5"/>
        <v>9.83</v>
      </c>
      <c r="O74" s="9"/>
    </row>
    <row r="75" spans="1:15" ht="15.75" thickBot="1" x14ac:dyDescent="0.3">
      <c r="A75" s="1"/>
      <c r="B75" s="11">
        <f>ROW(B75) - ROW($B$2)</f>
        <v>73</v>
      </c>
      <c r="C75" s="12" t="s">
        <v>16</v>
      </c>
      <c r="D75" s="7" t="s">
        <v>59</v>
      </c>
      <c r="E75" s="7" t="s">
        <v>131</v>
      </c>
      <c r="F75" s="7" t="s">
        <v>316</v>
      </c>
      <c r="G75" s="8">
        <v>760390015</v>
      </c>
      <c r="H75" s="7" t="s">
        <v>263</v>
      </c>
      <c r="I75" s="8" t="s">
        <v>311</v>
      </c>
      <c r="J75" s="7">
        <v>1</v>
      </c>
      <c r="K75" s="7">
        <f t="shared" si="4"/>
        <v>5</v>
      </c>
      <c r="L75" s="25" t="s">
        <v>312</v>
      </c>
      <c r="M75" s="14">
        <v>1.9</v>
      </c>
      <c r="N75" s="31">
        <f t="shared" si="5"/>
        <v>9.5</v>
      </c>
      <c r="O75" s="7"/>
    </row>
    <row r="76" spans="1:15" ht="24.75" thickBot="1" x14ac:dyDescent="0.3">
      <c r="A76" s="1"/>
      <c r="B76" s="11">
        <f t="shared" si="0"/>
        <v>74</v>
      </c>
      <c r="C76" s="13" t="s">
        <v>17</v>
      </c>
      <c r="D76" s="9" t="s">
        <v>60</v>
      </c>
      <c r="E76" s="9" t="s">
        <v>132</v>
      </c>
      <c r="F76" s="9" t="s">
        <v>171</v>
      </c>
      <c r="G76" s="10" t="s">
        <v>234</v>
      </c>
      <c r="H76" s="9" t="s">
        <v>264</v>
      </c>
      <c r="I76" s="8" t="s">
        <v>311</v>
      </c>
      <c r="J76" s="9">
        <v>1</v>
      </c>
      <c r="K76" s="7">
        <f t="shared" si="4"/>
        <v>5</v>
      </c>
      <c r="L76" s="25" t="s">
        <v>312</v>
      </c>
      <c r="M76" s="14">
        <v>6.11</v>
      </c>
      <c r="N76" s="31">
        <f t="shared" si="5"/>
        <v>30.55</v>
      </c>
      <c r="O76" s="9"/>
    </row>
    <row r="77" spans="1:15" ht="15.75" thickBot="1" x14ac:dyDescent="0.3">
      <c r="A77" s="1"/>
      <c r="B77" s="11">
        <f>ROW(B77) - ROW($B$2)</f>
        <v>75</v>
      </c>
      <c r="C77" s="12" t="s">
        <v>17</v>
      </c>
      <c r="D77" s="7" t="s">
        <v>61</v>
      </c>
      <c r="E77" s="7" t="s">
        <v>133</v>
      </c>
      <c r="F77" s="7" t="s">
        <v>172</v>
      </c>
      <c r="G77" s="8" t="s">
        <v>235</v>
      </c>
      <c r="H77" s="7" t="s">
        <v>260</v>
      </c>
      <c r="I77" s="8" t="s">
        <v>311</v>
      </c>
      <c r="J77" s="7">
        <v>1</v>
      </c>
      <c r="K77" s="7">
        <f t="shared" si="4"/>
        <v>5</v>
      </c>
      <c r="L77" s="25" t="s">
        <v>312</v>
      </c>
      <c r="M77" s="14">
        <v>2.41</v>
      </c>
      <c r="N77" s="31">
        <f t="shared" si="5"/>
        <v>12.05</v>
      </c>
      <c r="O77" s="7"/>
    </row>
    <row r="78" spans="1:15" ht="15.75" thickBot="1" x14ac:dyDescent="0.3">
      <c r="A78" s="1"/>
      <c r="B78" s="11">
        <f t="shared" si="0"/>
        <v>76</v>
      </c>
      <c r="C78" s="13" t="s">
        <v>17</v>
      </c>
      <c r="D78" s="9" t="s">
        <v>62</v>
      </c>
      <c r="E78" s="9" t="s">
        <v>134</v>
      </c>
      <c r="F78" s="9" t="s">
        <v>173</v>
      </c>
      <c r="G78" s="10" t="s">
        <v>236</v>
      </c>
      <c r="H78" s="9" t="s">
        <v>260</v>
      </c>
      <c r="I78" s="8" t="s">
        <v>311</v>
      </c>
      <c r="J78" s="9">
        <v>1</v>
      </c>
      <c r="K78" s="7">
        <f t="shared" si="4"/>
        <v>5</v>
      </c>
      <c r="L78" s="25" t="s">
        <v>312</v>
      </c>
      <c r="M78" s="14">
        <v>1.43</v>
      </c>
      <c r="N78" s="31">
        <f t="shared" si="5"/>
        <v>7.1499999999999995</v>
      </c>
      <c r="O78" s="9"/>
    </row>
    <row r="79" spans="1:15" ht="15.75" thickBot="1" x14ac:dyDescent="0.3">
      <c r="A79" s="1"/>
      <c r="B79" s="11">
        <f>ROW(B79) - ROW($B$2)</f>
        <v>77</v>
      </c>
      <c r="C79" s="12" t="s">
        <v>17</v>
      </c>
      <c r="D79" s="7" t="s">
        <v>63</v>
      </c>
      <c r="E79" s="7" t="s">
        <v>135</v>
      </c>
      <c r="F79" s="7" t="s">
        <v>174</v>
      </c>
      <c r="G79" s="8" t="s">
        <v>237</v>
      </c>
      <c r="H79" s="7" t="s">
        <v>260</v>
      </c>
      <c r="I79" s="8" t="s">
        <v>311</v>
      </c>
      <c r="J79" s="7">
        <v>1</v>
      </c>
      <c r="K79" s="7">
        <f t="shared" si="4"/>
        <v>5</v>
      </c>
      <c r="L79" s="25" t="s">
        <v>312</v>
      </c>
      <c r="M79" s="14">
        <v>2.27</v>
      </c>
      <c r="N79" s="31">
        <f t="shared" si="5"/>
        <v>11.35</v>
      </c>
      <c r="O79" s="7"/>
    </row>
    <row r="80" spans="1:15" ht="15.75" thickBot="1" x14ac:dyDescent="0.3">
      <c r="A80" s="1"/>
      <c r="B80" s="11">
        <f t="shared" si="0"/>
        <v>78</v>
      </c>
      <c r="C80" s="13" t="s">
        <v>17</v>
      </c>
      <c r="D80" s="9" t="s">
        <v>64</v>
      </c>
      <c r="E80" s="9" t="s">
        <v>136</v>
      </c>
      <c r="F80" s="9" t="s">
        <v>174</v>
      </c>
      <c r="G80" s="10" t="s">
        <v>238</v>
      </c>
      <c r="H80" s="9" t="s">
        <v>260</v>
      </c>
      <c r="I80" s="8" t="s">
        <v>311</v>
      </c>
      <c r="J80" s="9">
        <v>1</v>
      </c>
      <c r="K80" s="7">
        <f t="shared" si="4"/>
        <v>5</v>
      </c>
      <c r="L80" s="25" t="s">
        <v>312</v>
      </c>
      <c r="M80" s="14">
        <v>1.1599999999999999</v>
      </c>
      <c r="N80" s="31">
        <f t="shared" si="5"/>
        <v>5.8</v>
      </c>
      <c r="O80" s="9"/>
    </row>
    <row r="81" spans="1:23" ht="36.75" thickBot="1" x14ac:dyDescent="0.3">
      <c r="A81" s="1"/>
      <c r="B81" s="11">
        <f>ROW(B81) - ROW($B$2)</f>
        <v>79</v>
      </c>
      <c r="C81" s="13" t="s">
        <v>17</v>
      </c>
      <c r="D81" s="7" t="s">
        <v>65</v>
      </c>
      <c r="E81" s="7" t="s">
        <v>137</v>
      </c>
      <c r="F81" s="7" t="s">
        <v>175</v>
      </c>
      <c r="G81" s="8" t="s">
        <v>239</v>
      </c>
      <c r="H81" s="7" t="s">
        <v>265</v>
      </c>
      <c r="I81" s="8" t="s">
        <v>311</v>
      </c>
      <c r="J81" s="7">
        <v>1</v>
      </c>
      <c r="K81" s="7">
        <f t="shared" si="4"/>
        <v>5</v>
      </c>
      <c r="L81" s="25" t="s">
        <v>312</v>
      </c>
      <c r="M81" s="14">
        <v>4.66</v>
      </c>
      <c r="N81" s="31">
        <f t="shared" si="5"/>
        <v>23.3</v>
      </c>
      <c r="O81" s="7"/>
    </row>
    <row r="82" spans="1:23" ht="15.75" thickBot="1" x14ac:dyDescent="0.3">
      <c r="A82" s="1"/>
      <c r="B82" s="11">
        <f t="shared" si="0"/>
        <v>80</v>
      </c>
      <c r="C82" s="13" t="s">
        <v>17</v>
      </c>
      <c r="D82" s="9" t="s">
        <v>66</v>
      </c>
      <c r="E82" s="9" t="s">
        <v>138</v>
      </c>
      <c r="F82" s="9" t="s">
        <v>316</v>
      </c>
      <c r="G82" s="10" t="s">
        <v>176</v>
      </c>
      <c r="H82" s="9" t="s">
        <v>266</v>
      </c>
      <c r="I82" s="8" t="s">
        <v>311</v>
      </c>
      <c r="J82" s="9">
        <v>1</v>
      </c>
      <c r="K82" s="7">
        <f t="shared" si="4"/>
        <v>5</v>
      </c>
      <c r="L82" s="25" t="s">
        <v>312</v>
      </c>
      <c r="M82" s="14">
        <v>3</v>
      </c>
      <c r="N82" s="31">
        <f t="shared" si="5"/>
        <v>15</v>
      </c>
      <c r="O82" s="9"/>
    </row>
    <row r="83" spans="1:23" s="16" customFormat="1" ht="24.75" thickBot="1" x14ac:dyDescent="0.3">
      <c r="A83" s="15"/>
      <c r="B83" s="11">
        <f>ROW(B83) - ROW($B$2)</f>
        <v>81</v>
      </c>
      <c r="C83" s="13" t="s">
        <v>17</v>
      </c>
      <c r="D83" s="7" t="s">
        <v>67</v>
      </c>
      <c r="E83" s="7" t="s">
        <v>139</v>
      </c>
      <c r="F83" s="9" t="s">
        <v>316</v>
      </c>
      <c r="G83" s="8" t="s">
        <v>177</v>
      </c>
      <c r="H83" s="7" t="s">
        <v>267</v>
      </c>
      <c r="I83" s="8" t="s">
        <v>311</v>
      </c>
      <c r="J83" s="7">
        <v>1</v>
      </c>
      <c r="K83" s="7">
        <f t="shared" si="4"/>
        <v>5</v>
      </c>
      <c r="L83" s="25" t="s">
        <v>323</v>
      </c>
      <c r="M83" s="14">
        <v>2.6663999999999999</v>
      </c>
      <c r="N83" s="31">
        <f t="shared" si="5"/>
        <v>13.331999999999999</v>
      </c>
      <c r="O83" s="7"/>
      <c r="P83"/>
      <c r="Q83"/>
      <c r="R83"/>
      <c r="S83"/>
      <c r="T83"/>
      <c r="U83"/>
      <c r="V83"/>
      <c r="W83"/>
    </row>
    <row r="84" spans="1:23" ht="15.75" thickBot="1" x14ac:dyDescent="0.3">
      <c r="A84" s="1"/>
      <c r="B84" s="11">
        <f t="shared" si="0"/>
        <v>82</v>
      </c>
      <c r="C84" s="13" t="s">
        <v>17</v>
      </c>
      <c r="D84" s="9" t="s">
        <v>68</v>
      </c>
      <c r="E84" s="9" t="s">
        <v>140</v>
      </c>
      <c r="F84" s="9" t="s">
        <v>178</v>
      </c>
      <c r="G84" s="10" t="s">
        <v>240</v>
      </c>
      <c r="H84" s="9" t="s">
        <v>260</v>
      </c>
      <c r="I84" s="8" t="s">
        <v>311</v>
      </c>
      <c r="J84" s="9">
        <v>1</v>
      </c>
      <c r="K84" s="7">
        <f t="shared" si="4"/>
        <v>5</v>
      </c>
      <c r="L84" s="25" t="s">
        <v>312</v>
      </c>
      <c r="M84" s="14">
        <v>4.51</v>
      </c>
      <c r="N84" s="31">
        <f t="shared" si="5"/>
        <v>22.549999999999997</v>
      </c>
      <c r="O84" s="9"/>
    </row>
    <row r="85" spans="1:23" ht="15.75" thickBot="1" x14ac:dyDescent="0.3">
      <c r="A85" s="1"/>
      <c r="B85" s="11">
        <f>ROW(B85) - ROW($B$2)</f>
        <v>83</v>
      </c>
      <c r="C85" s="12" t="s">
        <v>17</v>
      </c>
      <c r="D85" s="7" t="s">
        <v>396</v>
      </c>
      <c r="E85" s="7" t="s">
        <v>141</v>
      </c>
      <c r="F85" s="7" t="s">
        <v>179</v>
      </c>
      <c r="G85" s="8" t="s">
        <v>241</v>
      </c>
      <c r="H85" s="7" t="s">
        <v>260</v>
      </c>
      <c r="I85" s="8" t="s">
        <v>311</v>
      </c>
      <c r="J85" s="7">
        <v>4</v>
      </c>
      <c r="K85" s="7">
        <f t="shared" si="4"/>
        <v>20</v>
      </c>
      <c r="L85" s="25" t="s">
        <v>312</v>
      </c>
      <c r="M85" s="14">
        <v>0.68</v>
      </c>
      <c r="N85" s="31">
        <f t="shared" si="5"/>
        <v>13.600000000000001</v>
      </c>
      <c r="O85" s="7"/>
    </row>
    <row r="86" spans="1:23" ht="15.75" thickBot="1" x14ac:dyDescent="0.3">
      <c r="A86" s="1"/>
      <c r="B86" s="11">
        <f t="shared" si="0"/>
        <v>84</v>
      </c>
      <c r="C86" s="13" t="s">
        <v>17</v>
      </c>
      <c r="D86" s="9" t="s">
        <v>397</v>
      </c>
      <c r="E86" s="9" t="s">
        <v>142</v>
      </c>
      <c r="F86" s="9" t="s">
        <v>180</v>
      </c>
      <c r="G86" s="10" t="s">
        <v>242</v>
      </c>
      <c r="H86" s="9" t="s">
        <v>260</v>
      </c>
      <c r="I86" s="8" t="s">
        <v>311</v>
      </c>
      <c r="J86" s="9">
        <v>2</v>
      </c>
      <c r="K86" s="7">
        <f t="shared" si="4"/>
        <v>10</v>
      </c>
      <c r="L86" s="25" t="s">
        <v>312</v>
      </c>
      <c r="M86" s="14">
        <v>5.2880000000000003</v>
      </c>
      <c r="N86" s="31">
        <f t="shared" si="5"/>
        <v>52.88</v>
      </c>
      <c r="O86" s="9"/>
    </row>
    <row r="87" spans="1:23" ht="15.75" thickBot="1" x14ac:dyDescent="0.3">
      <c r="A87" s="1"/>
      <c r="B87" s="11">
        <f>ROW(B87) - ROW($B$2)</f>
        <v>85</v>
      </c>
      <c r="C87" s="12" t="s">
        <v>17</v>
      </c>
      <c r="D87" s="7" t="s">
        <v>69</v>
      </c>
      <c r="E87" s="7" t="s">
        <v>143</v>
      </c>
      <c r="F87" s="7" t="s">
        <v>181</v>
      </c>
      <c r="G87" s="8" t="s">
        <v>243</v>
      </c>
      <c r="H87" s="7" t="s">
        <v>260</v>
      </c>
      <c r="I87" s="8" t="s">
        <v>311</v>
      </c>
      <c r="J87" s="7">
        <v>1</v>
      </c>
      <c r="K87" s="7">
        <f t="shared" si="4"/>
        <v>5</v>
      </c>
      <c r="L87" s="25" t="s">
        <v>312</v>
      </c>
      <c r="M87" s="14">
        <v>0.95</v>
      </c>
      <c r="N87" s="31">
        <f t="shared" si="5"/>
        <v>4.75</v>
      </c>
      <c r="O87" s="7"/>
    </row>
    <row r="88" spans="1:23" ht="15.75" thickBot="1" x14ac:dyDescent="0.3">
      <c r="A88" s="1"/>
      <c r="B88" s="11">
        <f t="shared" ref="B88" si="6">ROW(B88) - ROW($B$2)</f>
        <v>86</v>
      </c>
      <c r="C88" s="13" t="s">
        <v>17</v>
      </c>
      <c r="D88" s="9" t="s">
        <v>398</v>
      </c>
      <c r="E88" s="10" t="s">
        <v>360</v>
      </c>
      <c r="F88" s="9" t="s">
        <v>361</v>
      </c>
      <c r="G88" s="10" t="s">
        <v>350</v>
      </c>
      <c r="H88" s="9" t="s">
        <v>260</v>
      </c>
      <c r="I88" s="10"/>
      <c r="J88" s="9">
        <v>8</v>
      </c>
      <c r="K88" s="7">
        <f t="shared" si="4"/>
        <v>40</v>
      </c>
      <c r="L88" s="26" t="s">
        <v>312</v>
      </c>
      <c r="M88" s="14">
        <v>2.98</v>
      </c>
      <c r="N88" s="31">
        <f t="shared" si="5"/>
        <v>119.2</v>
      </c>
      <c r="O88" s="19"/>
    </row>
    <row r="89" spans="1:23" ht="24.75" thickBot="1" x14ac:dyDescent="0.3">
      <c r="A89" s="1"/>
      <c r="B89" s="11">
        <f t="shared" ref="B89" si="7">ROW(B89) - ROW($B$2)</f>
        <v>87</v>
      </c>
      <c r="C89" s="12" t="s">
        <v>325</v>
      </c>
      <c r="D89" s="7" t="s">
        <v>311</v>
      </c>
      <c r="E89" s="7" t="s">
        <v>366</v>
      </c>
      <c r="F89" s="7"/>
      <c r="G89" s="8" t="s">
        <v>364</v>
      </c>
      <c r="H89" s="7" t="s">
        <v>365</v>
      </c>
      <c r="I89" s="8" t="s">
        <v>311</v>
      </c>
      <c r="J89" s="7">
        <v>1</v>
      </c>
      <c r="K89" s="7">
        <v>2</v>
      </c>
      <c r="L89" s="25" t="s">
        <v>365</v>
      </c>
      <c r="M89" s="14">
        <v>16.989999999999998</v>
      </c>
      <c r="N89" s="31">
        <f t="shared" si="5"/>
        <v>33.979999999999997</v>
      </c>
      <c r="O89" s="7"/>
    </row>
    <row r="90" spans="1:23" ht="24.75" thickBot="1" x14ac:dyDescent="0.3">
      <c r="A90" s="1"/>
      <c r="B90" s="11">
        <f t="shared" ref="B90:B91" si="8">ROW(B90) - ROW($B$2)</f>
        <v>88</v>
      </c>
      <c r="C90" s="13" t="s">
        <v>325</v>
      </c>
      <c r="D90" s="9" t="s">
        <v>311</v>
      </c>
      <c r="E90" s="9" t="s">
        <v>399</v>
      </c>
      <c r="F90" s="9" t="s">
        <v>311</v>
      </c>
      <c r="G90" s="10" t="s">
        <v>400</v>
      </c>
      <c r="H90" s="9" t="s">
        <v>342</v>
      </c>
      <c r="I90" s="10" t="s">
        <v>311</v>
      </c>
      <c r="J90" s="9">
        <v>1</v>
      </c>
      <c r="K90" s="7">
        <f t="shared" si="4"/>
        <v>5</v>
      </c>
      <c r="L90" s="27" t="s">
        <v>323</v>
      </c>
      <c r="M90" s="29">
        <v>0.73499999999999999</v>
      </c>
      <c r="N90" s="32">
        <f t="shared" si="5"/>
        <v>3.6749999999999998</v>
      </c>
      <c r="O90" s="9"/>
    </row>
    <row r="91" spans="1:23" ht="15.75" thickBot="1" x14ac:dyDescent="0.3">
      <c r="A91" s="1"/>
      <c r="B91" s="11">
        <f t="shared" si="8"/>
        <v>89</v>
      </c>
      <c r="C91" s="20" t="s">
        <v>325</v>
      </c>
      <c r="D91" s="21" t="s">
        <v>311</v>
      </c>
      <c r="E91" s="21" t="s">
        <v>363</v>
      </c>
      <c r="F91" s="21" t="s">
        <v>311</v>
      </c>
      <c r="G91" s="22" t="s">
        <v>362</v>
      </c>
      <c r="H91" s="21" t="s">
        <v>343</v>
      </c>
      <c r="I91" s="22" t="s">
        <v>311</v>
      </c>
      <c r="J91" s="21">
        <v>1</v>
      </c>
      <c r="K91" s="7">
        <f t="shared" si="4"/>
        <v>5</v>
      </c>
      <c r="L91" s="28" t="s">
        <v>323</v>
      </c>
      <c r="M91" s="30">
        <v>1.2457</v>
      </c>
      <c r="N91" s="33">
        <f t="shared" si="5"/>
        <v>6.2285000000000004</v>
      </c>
      <c r="O91" s="21"/>
    </row>
    <row r="92" spans="1:23" ht="19.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36" t="s">
        <v>324</v>
      </c>
      <c r="L92" s="37"/>
      <c r="M92" s="38"/>
      <c r="N92" s="18">
        <f>SUM(N35:N91)</f>
        <v>464.59530000000007</v>
      </c>
      <c r="O92" s="1"/>
    </row>
    <row r="93" spans="1:23" ht="19.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39" t="s">
        <v>322</v>
      </c>
      <c r="L93" s="40"/>
      <c r="M93" s="41"/>
      <c r="N93" s="17">
        <f>N92/5</f>
        <v>92.919060000000016</v>
      </c>
      <c r="O93" s="1"/>
    </row>
    <row r="94" spans="1:23" x14ac:dyDescent="0.25">
      <c r="A94" s="1"/>
    </row>
  </sheetData>
  <mergeCells count="3">
    <mergeCell ref="I1:O1"/>
    <mergeCell ref="K92:M92"/>
    <mergeCell ref="K93:M93"/>
  </mergeCells>
  <hyperlinks>
    <hyperlink ref="L3" r:id="rId1"/>
    <hyperlink ref="L4" r:id="rId2"/>
    <hyperlink ref="L5" r:id="rId3"/>
    <hyperlink ref="L6" r:id="rId4"/>
    <hyperlink ref="L7" r:id="rId5"/>
    <hyperlink ref="L8" r:id="rId6"/>
    <hyperlink ref="L9" r:id="rId7"/>
    <hyperlink ref="L10" r:id="rId8"/>
    <hyperlink ref="L11" r:id="rId9"/>
    <hyperlink ref="L12" r:id="rId10"/>
    <hyperlink ref="L13" r:id="rId11"/>
    <hyperlink ref="L14" r:id="rId12"/>
    <hyperlink ref="L15" r:id="rId13"/>
    <hyperlink ref="L16" r:id="rId14"/>
    <hyperlink ref="L17" r:id="rId15"/>
    <hyperlink ref="L18" r:id="rId16"/>
    <hyperlink ref="L22" r:id="rId17"/>
    <hyperlink ref="L23" r:id="rId18"/>
    <hyperlink ref="L24" r:id="rId19"/>
    <hyperlink ref="L25" r:id="rId20"/>
    <hyperlink ref="L26" r:id="rId21"/>
    <hyperlink ref="L27" r:id="rId22"/>
    <hyperlink ref="L29" r:id="rId23"/>
    <hyperlink ref="L30" r:id="rId24"/>
    <hyperlink ref="L32" r:id="rId25"/>
    <hyperlink ref="L35" r:id="rId26"/>
    <hyperlink ref="L36" r:id="rId27"/>
    <hyperlink ref="L37" r:id="rId28"/>
    <hyperlink ref="L42" r:id="rId29"/>
    <hyperlink ref="L43" r:id="rId30"/>
    <hyperlink ref="L44" r:id="rId31"/>
    <hyperlink ref="L45" r:id="rId32"/>
    <hyperlink ref="L46" r:id="rId33"/>
    <hyperlink ref="L47" r:id="rId34"/>
    <hyperlink ref="L48" r:id="rId35"/>
    <hyperlink ref="L49" r:id="rId36"/>
    <hyperlink ref="L50" r:id="rId37"/>
    <hyperlink ref="L51" r:id="rId38"/>
    <hyperlink ref="L52" r:id="rId39"/>
    <hyperlink ref="L53" r:id="rId40"/>
    <hyperlink ref="L54" r:id="rId41"/>
    <hyperlink ref="L55" r:id="rId42"/>
    <hyperlink ref="L56" r:id="rId43"/>
    <hyperlink ref="L57" r:id="rId44"/>
    <hyperlink ref="L58" r:id="rId45"/>
    <hyperlink ref="L59" r:id="rId46"/>
    <hyperlink ref="L60" r:id="rId47"/>
    <hyperlink ref="L61" r:id="rId48"/>
    <hyperlink ref="L62" r:id="rId49"/>
    <hyperlink ref="L63" r:id="rId50"/>
    <hyperlink ref="L64" r:id="rId51"/>
    <hyperlink ref="L68" r:id="rId52"/>
    <hyperlink ref="L66" r:id="rId53"/>
    <hyperlink ref="L70" r:id="rId54"/>
    <hyperlink ref="L74" r:id="rId55"/>
    <hyperlink ref="L75" r:id="rId56"/>
    <hyperlink ref="L76" r:id="rId57"/>
    <hyperlink ref="L77" r:id="rId58"/>
    <hyperlink ref="L78" r:id="rId59"/>
    <hyperlink ref="L79" r:id="rId60"/>
    <hyperlink ref="L80" r:id="rId61"/>
    <hyperlink ref="L81" r:id="rId62"/>
    <hyperlink ref="L82" r:id="rId63"/>
    <hyperlink ref="L84" r:id="rId64"/>
    <hyperlink ref="L85" r:id="rId65"/>
    <hyperlink ref="L86" r:id="rId66"/>
    <hyperlink ref="L87" r:id="rId67"/>
    <hyperlink ref="L28" r:id="rId68"/>
    <hyperlink ref="L33" r:id="rId69"/>
    <hyperlink ref="L38" r:id="rId70"/>
    <hyperlink ref="L39" r:id="rId71"/>
    <hyperlink ref="L40" r:id="rId72"/>
    <hyperlink ref="L41" r:id="rId73"/>
    <hyperlink ref="L83" r:id="rId74"/>
    <hyperlink ref="L31" r:id="rId75"/>
    <hyperlink ref="L69" r:id="rId76"/>
    <hyperlink ref="L65" r:id="rId77"/>
    <hyperlink ref="L67" r:id="rId78"/>
    <hyperlink ref="L91" r:id="rId79"/>
    <hyperlink ref="L19" r:id="rId80"/>
    <hyperlink ref="L20" r:id="rId81"/>
    <hyperlink ref="L21" r:id="rId82"/>
    <hyperlink ref="L71" r:id="rId83"/>
    <hyperlink ref="L72" r:id="rId84"/>
    <hyperlink ref="L73" r:id="rId85"/>
    <hyperlink ref="L88" r:id="rId86"/>
    <hyperlink ref="L89" r:id="rId87"/>
    <hyperlink ref="L90" r:id="rId88"/>
  </hyperlinks>
  <pageMargins left="0.7" right="0.7" top="0.75" bottom="0.75" header="0.3" footer="0.3"/>
  <pageSetup paperSize="9" orientation="portrait" r:id="rId8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2024-05-03T12:07:09Z</dcterms:modified>
</cp:coreProperties>
</file>